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o\Documents\DOCUMENTS EPCOMM\Proyectos de automatizacion\P-11. Programa Gestión y Trazabilidad MPO\"/>
    </mc:Choice>
  </mc:AlternateContent>
  <xr:revisionPtr revIDLastSave="0" documentId="13_ncr:1_{181AC6B3-3879-41ED-BD81-C7745CC835D7}" xr6:coauthVersionLast="47" xr6:coauthVersionMax="47" xr10:uidLastSave="{00000000-0000-0000-0000-000000000000}"/>
  <bookViews>
    <workbookView xWindow="-120" yWindow="-120" windowWidth="24240" windowHeight="13020" tabRatio="707" xr2:uid="{21DAC6CF-7806-467B-A759-24F92FDFE0B6}"/>
  </bookViews>
  <sheets>
    <sheet name="Generador de plantillas" sheetId="1" r:id="rId1"/>
    <sheet name="Catalogo_OT" sheetId="96" state="hidden" r:id="rId2"/>
    <sheet name="PLANTILLA" sheetId="82" r:id="rId3"/>
    <sheet name="Historial" sheetId="84" state="veryHidden" r:id="rId4"/>
    <sheet name="PLANTILLA FANOUT" sheetId="94" r:id="rId5"/>
    <sheet name="Registro de pesos por caja" sheetId="37" r:id="rId6"/>
  </sheets>
  <functionGroups builtInGroupCount="19"/>
  <definedNames>
    <definedName name="Descripciones_PLANTILLA_20250414_151117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94" l="1"/>
  <c r="G4" i="94"/>
  <c r="H4" i="82" l="1"/>
  <c r="G4" i="82"/>
</calcChain>
</file>

<file path=xl/sharedStrings.xml><?xml version="1.0" encoding="utf-8"?>
<sst xmlns="http://schemas.openxmlformats.org/spreadsheetml/2006/main" count="284" uniqueCount="65">
  <si>
    <t>Configuración de ensamble</t>
  </si>
  <si>
    <t>Longitud del cable
(FT)</t>
  </si>
  <si>
    <t>Código de Barras</t>
  </si>
  <si>
    <t>Descripción del producto</t>
  </si>
  <si>
    <t>Fecha de registro
(DD/MM/AAAA HH:MM)</t>
  </si>
  <si>
    <t>Verificación de número de serie</t>
  </si>
  <si>
    <t>N° orden de trabajo</t>
  </si>
  <si>
    <t>Generador de plantillas para empaque de productos</t>
  </si>
  <si>
    <t>NOTA: EL GENERADOR DE PLANTILLAS DEBE USARSE SOLAMENTE PARA NUEVAS ORDENES DE TRABAJO.</t>
  </si>
  <si>
    <t xml:space="preserve"> </t>
  </si>
  <si>
    <t>Cantidad de productos por orden de trabajo</t>
  </si>
  <si>
    <t>DESBLOQUEAR HOJA</t>
  </si>
  <si>
    <t>Orden de trabajo</t>
  </si>
  <si>
    <t>JMO-250400001</t>
  </si>
  <si>
    <t>JMO-250400004</t>
  </si>
  <si>
    <t>Fecha y Hora</t>
  </si>
  <si>
    <t>Peso (kg)</t>
  </si>
  <si>
    <t>Operador</t>
  </si>
  <si>
    <t>BOTONES DE IMPRESIÓN</t>
  </si>
  <si>
    <t>nancy villa</t>
  </si>
  <si>
    <t>JMO-250500001</t>
  </si>
  <si>
    <t>NANCY VILLA</t>
  </si>
  <si>
    <t>JMO-250400005</t>
  </si>
  <si>
    <t>JMO-250500003</t>
  </si>
  <si>
    <t>JMO-250600003</t>
  </si>
  <si>
    <t>JMO-250600001</t>
  </si>
  <si>
    <t>JMO-250500002</t>
  </si>
  <si>
    <t>JMO-250700002</t>
  </si>
  <si>
    <t>JMO-250700005</t>
  </si>
  <si>
    <t>JMO-250700006</t>
  </si>
  <si>
    <t>JMO-250800003</t>
  </si>
  <si>
    <t>JMO-250800001</t>
  </si>
  <si>
    <t>JMO-250800002</t>
  </si>
  <si>
    <t>Vanessa Garcia</t>
  </si>
  <si>
    <t>JMO-2507000006</t>
  </si>
  <si>
    <t>nNANCY VILLA</t>
  </si>
  <si>
    <t>JMO-250800004</t>
  </si>
  <si>
    <t>JMO-250800008</t>
  </si>
  <si>
    <t>JMO-250800011</t>
  </si>
  <si>
    <t>JMO-250800009</t>
  </si>
  <si>
    <t>JMO-280500009</t>
  </si>
  <si>
    <t>JMO-250800012</t>
  </si>
  <si>
    <t>JMO-250900002</t>
  </si>
  <si>
    <t>JMO-250900001</t>
  </si>
  <si>
    <t>Área Liberación de Producto en línea de producción</t>
  </si>
  <si>
    <t>Área Liberación de Producto en empaque</t>
  </si>
  <si>
    <t>Productos a empacar</t>
  </si>
  <si>
    <t>Productos liberados</t>
  </si>
  <si>
    <t>CONFIRMACIÓN DE RESPONSABLE PARA CIERRE DE ORDEN DE TRABAJO</t>
  </si>
  <si>
    <t>OPERADOR</t>
  </si>
  <si>
    <t>CALIDAD - FQC</t>
  </si>
  <si>
    <t>PRODUCCIÓN</t>
  </si>
  <si>
    <t>EMPAQUE</t>
  </si>
  <si>
    <t>LOTES ENVIADOS POR PRODUCCIÓN</t>
  </si>
  <si>
    <t>LOTE</t>
  </si>
  <si>
    <t>CODIGO DE BARRAS</t>
  </si>
  <si>
    <t>CIERRE DE LOTE</t>
  </si>
  <si>
    <t>Lote 1 cerrado con 1 piezas.</t>
  </si>
  <si>
    <t>Paulo</t>
  </si>
  <si>
    <t>ORD-250800006-6FT-20251021</t>
  </si>
  <si>
    <t>Hydra MTPPC(F)-LCPC SX OM4 12F</t>
  </si>
  <si>
    <t>JMO-260300001</t>
  </si>
  <si>
    <t>PRODUCTOS FANOUT</t>
  </si>
  <si>
    <t>Hydra MTPPC(F)-LCPC SX OM4 12F 0.28M</t>
  </si>
  <si>
    <t>Longitud del cable
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</si>
</sst>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hh:mm:ss"/>
    <numFmt numFmtId="165" formatCode="0.000"/>
  </numFmts>
  <fonts count="40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0"/>
      <color rgb="FF339966"/>
      <name val="Arial"/>
      <family val="2"/>
    </font>
    <font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8"/>
      <color theme="1"/>
      <name val="Abadi"/>
      <family val="2"/>
    </font>
    <font>
      <b/>
      <sz val="80"/>
      <color theme="1"/>
      <name val="Calibri"/>
      <family val="2"/>
      <scheme val="minor"/>
    </font>
    <font>
      <sz val="100"/>
      <color theme="1"/>
      <name val="Calibri"/>
      <family val="2"/>
      <scheme val="minor"/>
    </font>
    <font>
      <b/>
      <sz val="60"/>
      <color rgb="FF000000"/>
      <name val="Calibri"/>
      <family val="2"/>
      <scheme val="minor"/>
    </font>
    <font>
      <b/>
      <sz val="60"/>
      <color rgb="FF000000"/>
      <name val="3DS Fonticon"/>
      <family val="3"/>
    </font>
    <font>
      <b/>
      <sz val="60"/>
      <color theme="1"/>
      <name val="Calibri"/>
      <family val="2"/>
      <scheme val="minor"/>
    </font>
    <font>
      <sz val="48"/>
      <color rgb="FF000000"/>
      <name val="Calibri"/>
      <family val="2"/>
      <scheme val="minor"/>
    </font>
    <font>
      <b/>
      <sz val="48"/>
      <color rgb="FF000000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00"/>
      <color rgb="FF000000"/>
      <name val="3DS Fonticon"/>
      <family val="3"/>
    </font>
    <font>
      <b/>
      <sz val="48"/>
      <color rgb="FF000000"/>
      <name val="3DS Fonticon"/>
      <family val="3"/>
    </font>
    <font>
      <b/>
      <sz val="50"/>
      <color rgb="FF000000"/>
      <name val="3DS Fonticon"/>
      <family val="3"/>
    </font>
    <font>
      <b/>
      <sz val="50"/>
      <color theme="1"/>
      <name val="3DS Fonticon"/>
      <family val="3"/>
    </font>
    <font>
      <sz val="50"/>
      <color theme="1"/>
      <name val="3DS Fonticon"/>
      <family val="3"/>
    </font>
    <font>
      <sz val="50"/>
      <color theme="1"/>
      <name val="Calibri"/>
      <family val="2"/>
      <scheme val="minor"/>
    </font>
    <font>
      <sz val="80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70"/>
      <color theme="1"/>
      <name val="Calibri"/>
      <family val="2"/>
      <scheme val="minor"/>
    </font>
    <font>
      <b/>
      <sz val="80"/>
      <color rgb="FF000000"/>
      <name val="3DS Fonticon"/>
      <family val="3"/>
    </font>
    <font>
      <sz val="60"/>
      <color theme="1"/>
      <name val="IDAutomationHC39M Free Version"/>
      <family val="1"/>
      <charset val="2"/>
    </font>
    <font>
      <b/>
      <sz val="10"/>
      <color rgb="FF339966"/>
      <name val="Arial"/>
      <family val="2"/>
    </font>
    <font>
      <sz val="200"/>
      <color theme="1"/>
      <name val="Calibri"/>
      <family val="2"/>
      <scheme val="minor"/>
    </font>
    <font>
      <b/>
      <sz val="100"/>
      <color rgb="FF000000"/>
      <name val="Calibri"/>
      <family val="2"/>
    </font>
    <font>
      <b/>
      <sz val="50"/>
      <color rgb="FF000000"/>
      <name val="Calibri"/>
      <family val="2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sz val="11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BFBFBF"/>
        <bgColor indexed="64"/>
      </patternFill>
    </fill>
  </fills>
  <borders count="45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rgb="FF1F2329"/>
      </right>
      <top style="medium">
        <color indexed="64"/>
      </top>
      <bottom style="medium">
        <color indexed="64"/>
      </bottom>
      <diagonal/>
    </border>
    <border>
      <left style="thin">
        <color rgb="FF1F2329"/>
      </left>
      <right/>
      <top style="medium">
        <color indexed="64"/>
      </top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1" fillId="0" borderId="0"/>
    <xf numFmtId="0" fontId="10" fillId="0" borderId="0"/>
  </cellStyleXfs>
  <cellXfs count="120">
    <xf numFmtId="0" fontId="0" fillId="0" borderId="0" xfId="0"/>
    <xf numFmtId="0" fontId="0" fillId="0" borderId="0" xfId="0" applyAlignment="1">
      <alignment wrapText="1"/>
    </xf>
    <xf numFmtId="0" fontId="7" fillId="0" borderId="0" xfId="0" applyFont="1"/>
    <xf numFmtId="0" fontId="3" fillId="2" borderId="14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 wrapText="1"/>
    </xf>
    <xf numFmtId="0" fontId="3" fillId="2" borderId="17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0" fontId="9" fillId="7" borderId="0" xfId="0" applyFont="1" applyFill="1" applyAlignment="1">
      <alignment horizontal="center"/>
    </xf>
    <xf numFmtId="0" fontId="9" fillId="7" borderId="28" xfId="0" applyFont="1" applyFill="1" applyBorder="1" applyAlignment="1">
      <alignment horizontal="center"/>
    </xf>
    <xf numFmtId="3" fontId="2" fillId="0" borderId="21" xfId="0" applyNumberFormat="1" applyFont="1" applyBorder="1" applyAlignment="1">
      <alignment horizontal="center" vertical="center"/>
    </xf>
    <xf numFmtId="0" fontId="0" fillId="0" borderId="0" xfId="0" applyProtection="1">
      <protection locked="0"/>
    </xf>
    <xf numFmtId="0" fontId="15" fillId="0" borderId="38" xfId="0" applyFont="1" applyBorder="1" applyAlignment="1" applyProtection="1">
      <alignment horizontal="center" vertical="center"/>
      <protection locked="0"/>
    </xf>
    <xf numFmtId="0" fontId="16" fillId="0" borderId="39" xfId="0" applyFont="1" applyBorder="1" applyAlignment="1" applyProtection="1">
      <alignment horizontal="center" vertical="center"/>
      <protection locked="0"/>
    </xf>
    <xf numFmtId="0" fontId="16" fillId="0" borderId="40" xfId="0" applyFont="1" applyBorder="1" applyAlignment="1" applyProtection="1">
      <alignment horizontal="center" vertical="center" wrapText="1"/>
      <protection locked="0"/>
    </xf>
    <xf numFmtId="0" fontId="15" fillId="0" borderId="10" xfId="0" applyFont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18" fillId="0" borderId="41" xfId="0" applyFont="1" applyBorder="1" applyAlignment="1" applyProtection="1">
      <alignment horizontal="center"/>
      <protection locked="0"/>
    </xf>
    <xf numFmtId="0" fontId="18" fillId="0" borderId="42" xfId="0" applyFont="1" applyBorder="1" applyAlignment="1" applyProtection="1">
      <alignment horizontal="center" vertical="center"/>
      <protection locked="0"/>
    </xf>
    <xf numFmtId="0" fontId="19" fillId="0" borderId="42" xfId="0" applyFont="1" applyBorder="1" applyAlignment="1" applyProtection="1">
      <alignment horizontal="center" vertical="center"/>
      <protection locked="0"/>
    </xf>
    <xf numFmtId="0" fontId="20" fillId="0" borderId="37" xfId="0" applyFont="1" applyBorder="1" applyAlignment="1" applyProtection="1">
      <alignment horizontal="center" vertical="center"/>
      <protection locked="0"/>
    </xf>
    <xf numFmtId="0" fontId="21" fillId="0" borderId="28" xfId="0" applyFont="1" applyBorder="1" applyProtection="1">
      <protection locked="0"/>
    </xf>
    <xf numFmtId="0" fontId="16" fillId="4" borderId="22" xfId="0" applyFont="1" applyFill="1" applyBorder="1" applyAlignment="1" applyProtection="1">
      <alignment horizontal="center" vertical="center"/>
      <protection locked="0"/>
    </xf>
    <xf numFmtId="0" fontId="18" fillId="0" borderId="3" xfId="0" applyFont="1" applyBorder="1" applyAlignment="1" applyProtection="1">
      <alignment horizontal="center" vertical="center"/>
      <protection locked="0"/>
    </xf>
    <xf numFmtId="0" fontId="18" fillId="0" borderId="43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Protection="1">
      <protection locked="0"/>
    </xf>
    <xf numFmtId="0" fontId="16" fillId="3" borderId="27" xfId="0" applyFont="1" applyFill="1" applyBorder="1" applyAlignment="1" applyProtection="1">
      <alignment horizontal="center" vertical="center" wrapText="1"/>
      <protection locked="0"/>
    </xf>
    <xf numFmtId="0" fontId="19" fillId="0" borderId="43" xfId="0" applyFont="1" applyBorder="1" applyAlignment="1" applyProtection="1">
      <alignment horizontal="center" vertical="center"/>
      <protection locked="0"/>
    </xf>
    <xf numFmtId="0" fontId="0" fillId="6" borderId="28" xfId="0" applyFill="1" applyBorder="1" applyProtection="1">
      <protection locked="0"/>
    </xf>
    <xf numFmtId="0" fontId="21" fillId="0" borderId="1" xfId="0" applyFont="1" applyBorder="1" applyProtection="1">
      <protection locked="0"/>
    </xf>
    <xf numFmtId="0" fontId="0" fillId="0" borderId="4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24" fillId="3" borderId="30" xfId="0" applyFont="1" applyFill="1" applyBorder="1" applyAlignment="1" applyProtection="1">
      <alignment horizontal="center" vertical="center"/>
      <protection locked="0"/>
    </xf>
    <xf numFmtId="0" fontId="24" fillId="3" borderId="31" xfId="0" applyFont="1" applyFill="1" applyBorder="1" applyAlignment="1" applyProtection="1">
      <alignment vertical="center"/>
      <protection locked="0"/>
    </xf>
    <xf numFmtId="0" fontId="25" fillId="0" borderId="28" xfId="0" applyFont="1" applyBorder="1" applyAlignment="1" applyProtection="1">
      <alignment horizontal="center" vertical="center"/>
      <protection locked="0"/>
    </xf>
    <xf numFmtId="0" fontId="26" fillId="0" borderId="32" xfId="0" applyFont="1" applyBorder="1" applyAlignment="1" applyProtection="1">
      <alignment horizontal="center"/>
      <protection locked="0"/>
    </xf>
    <xf numFmtId="0" fontId="26" fillId="0" borderId="29" xfId="0" applyFont="1" applyBorder="1" applyAlignment="1" applyProtection="1">
      <alignment horizontal="center"/>
      <protection locked="0"/>
    </xf>
    <xf numFmtId="0" fontId="24" fillId="3" borderId="4" xfId="0" applyFont="1" applyFill="1" applyBorder="1" applyAlignment="1" applyProtection="1">
      <alignment horizontal="center" vertical="center"/>
      <protection locked="0"/>
    </xf>
    <xf numFmtId="0" fontId="24" fillId="3" borderId="6" xfId="0" applyFont="1" applyFill="1" applyBorder="1" applyAlignment="1" applyProtection="1">
      <alignment vertical="center"/>
      <protection locked="0"/>
    </xf>
    <xf numFmtId="0" fontId="27" fillId="0" borderId="34" xfId="0" applyFont="1" applyBorder="1" applyProtection="1">
      <protection locked="0"/>
    </xf>
    <xf numFmtId="0" fontId="27" fillId="0" borderId="33" xfId="0" applyFont="1" applyBorder="1" applyProtection="1">
      <protection locked="0"/>
    </xf>
    <xf numFmtId="0" fontId="27" fillId="0" borderId="35" xfId="0" applyFont="1" applyBorder="1" applyProtection="1">
      <protection locked="0"/>
    </xf>
    <xf numFmtId="0" fontId="27" fillId="0" borderId="36" xfId="0" applyFont="1" applyBorder="1" applyProtection="1">
      <protection locked="0"/>
    </xf>
    <xf numFmtId="0" fontId="29" fillId="0" borderId="0" xfId="0" applyFont="1" applyProtection="1">
      <protection locked="0"/>
    </xf>
    <xf numFmtId="0" fontId="31" fillId="3" borderId="10" xfId="0" applyFont="1" applyFill="1" applyBorder="1" applyAlignment="1" applyProtection="1">
      <alignment horizontal="center" vertical="center" wrapText="1"/>
      <protection locked="0"/>
    </xf>
    <xf numFmtId="0" fontId="17" fillId="0" borderId="28" xfId="0" applyFont="1" applyBorder="1" applyAlignment="1" applyProtection="1">
      <alignment horizontal="left" vertical="center" wrapText="1"/>
      <protection locked="0"/>
    </xf>
    <xf numFmtId="0" fontId="32" fillId="0" borderId="28" xfId="0" applyFont="1" applyBorder="1" applyAlignment="1" applyProtection="1">
      <alignment horizontal="center" vertical="center"/>
      <protection locked="0"/>
    </xf>
    <xf numFmtId="0" fontId="21" fillId="0" borderId="1" xfId="0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3" fillId="4" borderId="4" xfId="0" applyFont="1" applyFill="1" applyBorder="1" applyAlignment="1" applyProtection="1">
      <alignment horizontal="center"/>
      <protection locked="0"/>
    </xf>
    <xf numFmtId="0" fontId="13" fillId="4" borderId="5" xfId="0" applyFont="1" applyFill="1" applyBorder="1" applyAlignment="1" applyProtection="1">
      <alignment horizontal="center"/>
      <protection locked="0"/>
    </xf>
    <xf numFmtId="0" fontId="13" fillId="4" borderId="6" xfId="0" applyFont="1" applyFill="1" applyBorder="1" applyAlignment="1" applyProtection="1">
      <alignment horizontal="center"/>
      <protection locked="0"/>
    </xf>
    <xf numFmtId="0" fontId="14" fillId="0" borderId="31" xfId="0" applyFont="1" applyBorder="1" applyAlignment="1" applyProtection="1">
      <alignment horizontal="center"/>
      <protection locked="0"/>
    </xf>
    <xf numFmtId="0" fontId="17" fillId="0" borderId="30" xfId="0" applyFont="1" applyBorder="1" applyAlignment="1" applyProtection="1">
      <alignment horizontal="center" vertical="center" wrapText="1"/>
      <protection locked="0"/>
    </xf>
    <xf numFmtId="0" fontId="17" fillId="0" borderId="31" xfId="0" applyFont="1" applyBorder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/>
      <protection locked="0"/>
    </xf>
    <xf numFmtId="0" fontId="22" fillId="0" borderId="23" xfId="0" applyFont="1" applyBorder="1" applyAlignment="1" applyProtection="1">
      <alignment horizontal="center" vertical="center"/>
      <protection locked="0"/>
    </xf>
    <xf numFmtId="0" fontId="22" fillId="0" borderId="24" xfId="0" applyFont="1" applyBorder="1" applyAlignment="1" applyProtection="1">
      <alignment horizontal="center" vertical="center"/>
      <protection locked="0"/>
    </xf>
    <xf numFmtId="0" fontId="22" fillId="0" borderId="25" xfId="0" applyFont="1" applyBorder="1" applyAlignment="1" applyProtection="1">
      <alignment horizontal="center" vertical="center"/>
      <protection locked="0"/>
    </xf>
    <xf numFmtId="0" fontId="23" fillId="4" borderId="26" xfId="0" applyFont="1" applyFill="1" applyBorder="1" applyAlignment="1" applyProtection="1">
      <alignment horizontal="center" vertical="center"/>
      <protection locked="0"/>
    </xf>
    <xf numFmtId="0" fontId="23" fillId="4" borderId="11" xfId="0" applyFont="1" applyFill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6" fillId="4" borderId="4" xfId="0" applyFont="1" applyFill="1" applyBorder="1" applyAlignment="1" applyProtection="1">
      <alignment horizontal="center" vertical="center"/>
      <protection locked="0"/>
    </xf>
    <xf numFmtId="0" fontId="16" fillId="4" borderId="6" xfId="0" applyFont="1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28" fillId="0" borderId="6" xfId="0" applyFont="1" applyBorder="1" applyAlignment="1" applyProtection="1">
      <alignment horizontal="center"/>
      <protection locked="0"/>
    </xf>
    <xf numFmtId="0" fontId="28" fillId="0" borderId="7" xfId="0" applyFont="1" applyBorder="1" applyAlignment="1" applyProtection="1">
      <alignment horizontal="center"/>
      <protection locked="0"/>
    </xf>
    <xf numFmtId="0" fontId="28" fillId="0" borderId="9" xfId="0" applyFont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0" fillId="0" borderId="30" xfId="0" applyFont="1" applyBorder="1" applyAlignment="1" applyProtection="1">
      <alignment horizontal="center"/>
      <protection locked="0"/>
    </xf>
    <xf numFmtId="0" fontId="30" fillId="0" borderId="31" xfId="0" applyFont="1" applyBorder="1" applyAlignment="1" applyProtection="1">
      <alignment horizontal="center"/>
      <protection locked="0"/>
    </xf>
    <xf numFmtId="0" fontId="8" fillId="5" borderId="4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0" fontId="8" fillId="5" borderId="0" xfId="0" applyFont="1" applyFill="1" applyAlignment="1">
      <alignment horizontal="center" vertical="center" wrapText="1"/>
    </xf>
    <xf numFmtId="0" fontId="8" fillId="5" borderId="13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14" fillId="0" borderId="30" xfId="0" applyFont="1" applyBorder="1" applyAlignment="1" applyProtection="1">
      <alignment horizontal="center"/>
      <protection locked="0"/>
    </xf>
    <xf numFmtId="0" fontId="12" fillId="4" borderId="4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center" vertic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38" fillId="0" borderId="0" xfId="0" applyFont="1" applyFill="1"/>
    <xf numFmtId="0" fontId="39" fillId="0" borderId="28" xfId="0" applyFont="1" applyBorder="1" applyAlignment="1">
      <alignment horizontal="center" vertical="center" wrapText="1"/>
    </xf>
    <xf numFmtId="0" fontId="39" fillId="0" borderId="28" xfId="0" applyFont="1" applyBorder="1" applyAlignment="1">
      <alignment vertical="center" wrapText="1"/>
    </xf>
    <xf numFmtId="0" fontId="0" fillId="0" borderId="28" xfId="0" applyBorder="1" applyAlignment="1">
      <alignment wrapText="1"/>
    </xf>
  </cellXfs>
  <cellStyles count="3">
    <cellStyle name="Normal" xfId="0" builtinId="0"/>
    <cellStyle name="Normal 2" xfId="1" xr:uid="{A7F774D6-EB0C-4D2A-A292-C79FC520FCFE}"/>
    <cellStyle name="Normal 2 2" xfId="2" xr:uid="{04AD2C36-9C79-41B4-B788-DB232CA47815}"/>
  </cellStyles>
  <dxfs count="28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-0.24994659260841701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-0.24994659260841701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 val="0"/>
      </font>
      <fill>
        <patternFill>
          <bgColor theme="7" tint="0.39994506668294322"/>
        </patternFill>
      </fill>
    </dxf>
    <dxf>
      <font>
        <b/>
        <i val="0"/>
      </font>
      <fill>
        <patternFill>
          <bgColor theme="5" tint="-0.24994659260841701"/>
        </patternFill>
      </fill>
    </dxf>
    <dxf>
      <font>
        <b/>
        <i val="0"/>
        <color theme="1" tint="4.9989318521683403E-2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92D050"/>
        </patternFill>
      </fill>
    </dxf>
    <dxf>
      <font>
        <b/>
        <i val="0"/>
      </font>
      <numFmt numFmtId="0" formatCode="General"/>
      <fill>
        <patternFill>
          <bgColor rgb="FFFF0000"/>
        </patternFill>
      </fill>
    </dxf>
    <dxf>
      <font>
        <b/>
        <i val="0"/>
        <strike val="0"/>
        <u val="none"/>
        <color theme="1" tint="4.9989318521683403E-2"/>
      </font>
      <numFmt numFmtId="30" formatCode="@"/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6</xdr:row>
          <xdr:rowOff>38100</xdr:rowOff>
        </xdr:from>
        <xdr:to>
          <xdr:col>7</xdr:col>
          <xdr:colOff>457200</xdr:colOff>
          <xdr:row>8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s-MX" sz="2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GENERAR PLANTILLA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133350</xdr:rowOff>
        </xdr:from>
        <xdr:to>
          <xdr:col>5</xdr:col>
          <xdr:colOff>457200</xdr:colOff>
          <xdr:row>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Mostrar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</xdr:row>
          <xdr:rowOff>133350</xdr:rowOff>
        </xdr:from>
        <xdr:to>
          <xdr:col>5</xdr:col>
          <xdr:colOff>447675</xdr:colOff>
          <xdr:row>2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Ocultar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3028950</xdr:colOff>
          <xdr:row>9</xdr:row>
          <xdr:rowOff>209550</xdr:rowOff>
        </xdr:from>
        <xdr:to>
          <xdr:col>6</xdr:col>
          <xdr:colOff>12915900</xdr:colOff>
          <xdr:row>13</xdr:row>
          <xdr:rowOff>552450</xdr:rowOff>
        </xdr:to>
        <xdr:sp macro="" textlink="">
          <xdr:nvSpPr>
            <xdr:cNvPr id="172033" name="Button 1" hidden="1">
              <a:extLst>
                <a:ext uri="{63B3BB69-23CF-44E3-9099-C40C66FF867C}">
                  <a14:compatExt spid="_x0000_s172033"/>
                </a:ext>
                <a:ext uri="{FF2B5EF4-FFF2-40B4-BE49-F238E27FC236}">
                  <a16:creationId xmlns:a16="http://schemas.microsoft.com/office/drawing/2014/main" id="{00000000-0008-0000-0100-000001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3514725</xdr:colOff>
          <xdr:row>9</xdr:row>
          <xdr:rowOff>171450</xdr:rowOff>
        </xdr:from>
        <xdr:to>
          <xdr:col>7</xdr:col>
          <xdr:colOff>13363575</xdr:colOff>
          <xdr:row>13</xdr:row>
          <xdr:rowOff>619125</xdr:rowOff>
        </xdr:to>
        <xdr:sp macro="" textlink="">
          <xdr:nvSpPr>
            <xdr:cNvPr id="172034" name="Button 2" hidden="1">
              <a:extLst>
                <a:ext uri="{63B3BB69-23CF-44E3-9099-C40C66FF867C}">
                  <a14:compatExt spid="_x0000_s172034"/>
                </a:ext>
                <a:ext uri="{FF2B5EF4-FFF2-40B4-BE49-F238E27FC236}">
                  <a16:creationId xmlns:a16="http://schemas.microsoft.com/office/drawing/2014/main" id="{00000000-0008-0000-0100-000002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4229100</xdr:colOff>
          <xdr:row>16</xdr:row>
          <xdr:rowOff>114300</xdr:rowOff>
        </xdr:from>
        <xdr:to>
          <xdr:col>7</xdr:col>
          <xdr:colOff>13030200</xdr:colOff>
          <xdr:row>19</xdr:row>
          <xdr:rowOff>619125</xdr:rowOff>
        </xdr:to>
        <xdr:sp macro="" textlink="">
          <xdr:nvSpPr>
            <xdr:cNvPr id="172035" name="Button 3" hidden="1">
              <a:extLst>
                <a:ext uri="{63B3BB69-23CF-44E3-9099-C40C66FF867C}">
                  <a14:compatExt spid="_x0000_s172035"/>
                </a:ext>
                <a:ext uri="{FF2B5EF4-FFF2-40B4-BE49-F238E27FC236}">
                  <a16:creationId xmlns:a16="http://schemas.microsoft.com/office/drawing/2014/main" id="{00000000-0008-0000-0100-000003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6391275</xdr:colOff>
          <xdr:row>32</xdr:row>
          <xdr:rowOff>342900</xdr:rowOff>
        </xdr:from>
        <xdr:to>
          <xdr:col>7</xdr:col>
          <xdr:colOff>11563350</xdr:colOff>
          <xdr:row>38</xdr:row>
          <xdr:rowOff>514350</xdr:rowOff>
        </xdr:to>
        <xdr:sp macro="" textlink="">
          <xdr:nvSpPr>
            <xdr:cNvPr id="172036" name="Button 4" hidden="1">
              <a:extLst>
                <a:ext uri="{63B3BB69-23CF-44E3-9099-C40C66FF867C}">
                  <a14:compatExt spid="_x0000_s172036"/>
                </a:ext>
                <a:ext uri="{FF2B5EF4-FFF2-40B4-BE49-F238E27FC236}">
                  <a16:creationId xmlns:a16="http://schemas.microsoft.com/office/drawing/2014/main" id="{00000000-0008-0000-0100-000004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Cerrar y Contar Lote (producción)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6391275</xdr:colOff>
          <xdr:row>43</xdr:row>
          <xdr:rowOff>342900</xdr:rowOff>
        </xdr:from>
        <xdr:to>
          <xdr:col>7</xdr:col>
          <xdr:colOff>11563350</xdr:colOff>
          <xdr:row>49</xdr:row>
          <xdr:rowOff>514350</xdr:rowOff>
        </xdr:to>
        <xdr:sp macro="" textlink="">
          <xdr:nvSpPr>
            <xdr:cNvPr id="172037" name="Button 5" hidden="1">
              <a:extLst>
                <a:ext uri="{63B3BB69-23CF-44E3-9099-C40C66FF867C}">
                  <a14:compatExt spid="_x0000_s172037"/>
                </a:ext>
                <a:ext uri="{FF2B5EF4-FFF2-40B4-BE49-F238E27FC236}">
                  <a16:creationId xmlns:a16="http://schemas.microsoft.com/office/drawing/2014/main" id="{00000000-0008-0000-0100-000005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 y Cerrar Lote (empaque)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11649075</xdr:colOff>
          <xdr:row>50</xdr:row>
          <xdr:rowOff>171450</xdr:rowOff>
        </xdr:from>
        <xdr:to>
          <xdr:col>7</xdr:col>
          <xdr:colOff>17087850</xdr:colOff>
          <xdr:row>51</xdr:row>
          <xdr:rowOff>609600</xdr:rowOff>
        </xdr:to>
        <xdr:sp macro="" textlink="">
          <xdr:nvSpPr>
            <xdr:cNvPr id="172038" name="Button 6" hidden="1">
              <a:extLst>
                <a:ext uri="{63B3BB69-23CF-44E3-9099-C40C66FF867C}">
                  <a14:compatExt spid="_x0000_s172038"/>
                </a:ext>
                <a:ext uri="{FF2B5EF4-FFF2-40B4-BE49-F238E27FC236}">
                  <a16:creationId xmlns:a16="http://schemas.microsoft.com/office/drawing/2014/main" id="{00000000-0008-0000-0100-000006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1440" rIns="91440" bIns="91440" anchor="ctr" upright="1"/>
            <a:lstStyle/>
            <a:p>
              <a:pPr algn="ctr" rtl="0">
                <a:defRPr sz="1000"/>
              </a:pPr>
              <a:r>
                <a:rPr lang="es-MX" sz="5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lote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50</xdr:row>
          <xdr:rowOff>323850</xdr:rowOff>
        </xdr:from>
        <xdr:to>
          <xdr:col>6</xdr:col>
          <xdr:colOff>6429375</xdr:colOff>
          <xdr:row>51</xdr:row>
          <xdr:rowOff>714375</xdr:rowOff>
        </xdr:to>
        <xdr:sp macro="" textlink="">
          <xdr:nvSpPr>
            <xdr:cNvPr id="172039" name="Button 7" hidden="1">
              <a:extLst>
                <a:ext uri="{63B3BB69-23CF-44E3-9099-C40C66FF867C}">
                  <a14:compatExt spid="_x0000_s172039"/>
                </a:ext>
                <a:ext uri="{FF2B5EF4-FFF2-40B4-BE49-F238E27FC236}">
                  <a16:creationId xmlns:a16="http://schemas.microsoft.com/office/drawing/2014/main" id="{00000000-0008-0000-0100-000007A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1440" rIns="91440" bIns="91440" anchor="ctr" upright="1"/>
            <a:lstStyle/>
            <a:p>
              <a:pPr algn="ctr" rtl="0">
                <a:defRPr sz="1000"/>
              </a:pPr>
              <a:r>
                <a:rPr lang="es-MX" sz="5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 lote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3028950</xdr:colOff>
          <xdr:row>9</xdr:row>
          <xdr:rowOff>209550</xdr:rowOff>
        </xdr:from>
        <xdr:to>
          <xdr:col>6</xdr:col>
          <xdr:colOff>12915900</xdr:colOff>
          <xdr:row>13</xdr:row>
          <xdr:rowOff>552450</xdr:rowOff>
        </xdr:to>
        <xdr:sp macro="" textlink="">
          <xdr:nvSpPr>
            <xdr:cNvPr id="186369" name="Button 1" hidden="1">
              <a:extLst>
                <a:ext uri="{63B3BB69-23CF-44E3-9099-C40C66FF867C}">
                  <a14:compatExt spid="_x0000_s186369"/>
                </a:ext>
                <a:ext uri="{FF2B5EF4-FFF2-40B4-BE49-F238E27FC236}">
                  <a16:creationId xmlns:a16="http://schemas.microsoft.com/office/drawing/2014/main" id="{00000000-0008-0000-0300-000001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3514725</xdr:colOff>
          <xdr:row>9</xdr:row>
          <xdr:rowOff>171450</xdr:rowOff>
        </xdr:from>
        <xdr:to>
          <xdr:col>7</xdr:col>
          <xdr:colOff>13363575</xdr:colOff>
          <xdr:row>13</xdr:row>
          <xdr:rowOff>619125</xdr:rowOff>
        </xdr:to>
        <xdr:sp macro="" textlink="">
          <xdr:nvSpPr>
            <xdr:cNvPr id="186370" name="Button 2" hidden="1">
              <a:extLst>
                <a:ext uri="{63B3BB69-23CF-44E3-9099-C40C66FF867C}">
                  <a14:compatExt spid="_x0000_s186370"/>
                </a:ext>
                <a:ext uri="{FF2B5EF4-FFF2-40B4-BE49-F238E27FC236}">
                  <a16:creationId xmlns:a16="http://schemas.microsoft.com/office/drawing/2014/main" id="{00000000-0008-0000-0300-000002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4229100</xdr:colOff>
          <xdr:row>16</xdr:row>
          <xdr:rowOff>114300</xdr:rowOff>
        </xdr:from>
        <xdr:to>
          <xdr:col>7</xdr:col>
          <xdr:colOff>13030200</xdr:colOff>
          <xdr:row>19</xdr:row>
          <xdr:rowOff>619125</xdr:rowOff>
        </xdr:to>
        <xdr:sp macro="" textlink="">
          <xdr:nvSpPr>
            <xdr:cNvPr id="186371" name="Button 3" hidden="1">
              <a:extLst>
                <a:ext uri="{63B3BB69-23CF-44E3-9099-C40C66FF867C}">
                  <a14:compatExt spid="_x0000_s186371"/>
                </a:ext>
                <a:ext uri="{FF2B5EF4-FFF2-40B4-BE49-F238E27FC236}">
                  <a16:creationId xmlns:a16="http://schemas.microsoft.com/office/drawing/2014/main" id="{00000000-0008-0000-0300-000003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6391275</xdr:colOff>
          <xdr:row>32</xdr:row>
          <xdr:rowOff>342900</xdr:rowOff>
        </xdr:from>
        <xdr:to>
          <xdr:col>7</xdr:col>
          <xdr:colOff>11563350</xdr:colOff>
          <xdr:row>38</xdr:row>
          <xdr:rowOff>514350</xdr:rowOff>
        </xdr:to>
        <xdr:sp macro="" textlink="">
          <xdr:nvSpPr>
            <xdr:cNvPr id="186372" name="Button 4" hidden="1">
              <a:extLst>
                <a:ext uri="{63B3BB69-23CF-44E3-9099-C40C66FF867C}">
                  <a14:compatExt spid="_x0000_s186372"/>
                </a:ext>
                <a:ext uri="{FF2B5EF4-FFF2-40B4-BE49-F238E27FC236}">
                  <a16:creationId xmlns:a16="http://schemas.microsoft.com/office/drawing/2014/main" id="{00000000-0008-0000-0300-000004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Cerrar y Contar Lote (producción)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6391275</xdr:colOff>
          <xdr:row>43</xdr:row>
          <xdr:rowOff>342900</xdr:rowOff>
        </xdr:from>
        <xdr:to>
          <xdr:col>7</xdr:col>
          <xdr:colOff>11563350</xdr:colOff>
          <xdr:row>49</xdr:row>
          <xdr:rowOff>514350</xdr:rowOff>
        </xdr:to>
        <xdr:sp macro="" textlink="">
          <xdr:nvSpPr>
            <xdr:cNvPr id="186373" name="Button 5" hidden="1">
              <a:extLst>
                <a:ext uri="{63B3BB69-23CF-44E3-9099-C40C66FF867C}">
                  <a14:compatExt spid="_x0000_s186373"/>
                </a:ext>
                <a:ext uri="{FF2B5EF4-FFF2-40B4-BE49-F238E27FC236}">
                  <a16:creationId xmlns:a16="http://schemas.microsoft.com/office/drawing/2014/main" id="{00000000-0008-0000-0300-000005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64592" tIns="173736" rIns="164592" bIns="173736" anchor="ctr" upright="1"/>
            <a:lstStyle/>
            <a:p>
              <a:pPr algn="ctr" rtl="0">
                <a:defRPr sz="1000"/>
              </a:pPr>
              <a:r>
                <a:rPr lang="es-MX" sz="10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Confirmar y Cerrar Lote (empaque)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11649075</xdr:colOff>
          <xdr:row>50</xdr:row>
          <xdr:rowOff>171450</xdr:rowOff>
        </xdr:from>
        <xdr:to>
          <xdr:col>7</xdr:col>
          <xdr:colOff>17087850</xdr:colOff>
          <xdr:row>51</xdr:row>
          <xdr:rowOff>609600</xdr:rowOff>
        </xdr:to>
        <xdr:sp macro="" textlink="">
          <xdr:nvSpPr>
            <xdr:cNvPr id="186374" name="Button 6" hidden="1">
              <a:extLst>
                <a:ext uri="{63B3BB69-23CF-44E3-9099-C40C66FF867C}">
                  <a14:compatExt spid="_x0000_s186374"/>
                </a:ext>
                <a:ext uri="{FF2B5EF4-FFF2-40B4-BE49-F238E27FC236}">
                  <a16:creationId xmlns:a16="http://schemas.microsoft.com/office/drawing/2014/main" id="{00000000-0008-0000-0300-000006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1440" rIns="91440" bIns="91440" anchor="ctr" upright="1"/>
            <a:lstStyle/>
            <a:p>
              <a:pPr algn="ctr" rtl="0">
                <a:defRPr sz="1000"/>
              </a:pPr>
              <a:r>
                <a:rPr lang="es-MX" sz="5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Eliminar lote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50</xdr:row>
          <xdr:rowOff>323850</xdr:rowOff>
        </xdr:from>
        <xdr:to>
          <xdr:col>6</xdr:col>
          <xdr:colOff>6429375</xdr:colOff>
          <xdr:row>51</xdr:row>
          <xdr:rowOff>714375</xdr:rowOff>
        </xdr:to>
        <xdr:sp macro="" textlink="">
          <xdr:nvSpPr>
            <xdr:cNvPr id="186375" name="Button 7" hidden="1">
              <a:extLst>
                <a:ext uri="{63B3BB69-23CF-44E3-9099-C40C66FF867C}">
                  <a14:compatExt spid="_x0000_s186375"/>
                </a:ext>
                <a:ext uri="{FF2B5EF4-FFF2-40B4-BE49-F238E27FC236}">
                  <a16:creationId xmlns:a16="http://schemas.microsoft.com/office/drawing/2014/main" id="{00000000-0008-0000-0300-000007D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91440" rIns="91440" bIns="91440" anchor="ctr" upright="1"/>
            <a:lstStyle/>
            <a:p>
              <a:pPr algn="ctr" rtl="0">
                <a:defRPr sz="1000"/>
              </a:pPr>
              <a:r>
                <a:rPr lang="es-MX" sz="5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Desbloquear lote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11</xdr:row>
          <xdr:rowOff>38100</xdr:rowOff>
        </xdr:from>
        <xdr:to>
          <xdr:col>14</xdr:col>
          <xdr:colOff>504825</xdr:colOff>
          <xdr:row>14</xdr:row>
          <xdr:rowOff>47625</xdr:rowOff>
        </xdr:to>
        <xdr:sp macro="" textlink="">
          <xdr:nvSpPr>
            <xdr:cNvPr id="33793" name="Button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4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CONECTAR BÁSCULA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18</xdr:row>
          <xdr:rowOff>76200</xdr:rowOff>
        </xdr:from>
        <xdr:to>
          <xdr:col>17</xdr:col>
          <xdr:colOff>485775</xdr:colOff>
          <xdr:row>21</xdr:row>
          <xdr:rowOff>85725</xdr:rowOff>
        </xdr:to>
        <xdr:sp macro="" textlink="">
          <xdr:nvSpPr>
            <xdr:cNvPr id="33794" name="Button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4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6. DESCONECTAR BÁSCULA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11</xdr:row>
          <xdr:rowOff>57150</xdr:rowOff>
        </xdr:from>
        <xdr:to>
          <xdr:col>17</xdr:col>
          <xdr:colOff>476250</xdr:colOff>
          <xdr:row>14</xdr:row>
          <xdr:rowOff>66675</xdr:rowOff>
        </xdr:to>
        <xdr:sp macro="" textlink="">
          <xdr:nvSpPr>
            <xdr:cNvPr id="33795" name="Button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4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4. REGISTRAR PESO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114300</xdr:colOff>
          <xdr:row>14</xdr:row>
          <xdr:rowOff>161925</xdr:rowOff>
        </xdr:from>
        <xdr:to>
          <xdr:col>17</xdr:col>
          <xdr:colOff>476250</xdr:colOff>
          <xdr:row>17</xdr:row>
          <xdr:rowOff>171450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4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5. IMPRIMIR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18</xdr:row>
          <xdr:rowOff>95250</xdr:rowOff>
        </xdr:from>
        <xdr:to>
          <xdr:col>14</xdr:col>
          <xdr:colOff>504825</xdr:colOff>
          <xdr:row>21</xdr:row>
          <xdr:rowOff>104775</xdr:rowOff>
        </xdr:to>
        <xdr:sp macro="" textlink="">
          <xdr:nvSpPr>
            <xdr:cNvPr id="33797" name="Button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4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3. ORDEN DE TRABAJO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142875</xdr:colOff>
          <xdr:row>14</xdr:row>
          <xdr:rowOff>152400</xdr:rowOff>
        </xdr:from>
        <xdr:to>
          <xdr:col>14</xdr:col>
          <xdr:colOff>504825</xdr:colOff>
          <xdr:row>17</xdr:row>
          <xdr:rowOff>161925</xdr:rowOff>
        </xdr:to>
        <xdr:sp macro="" textlink="">
          <xdr:nvSpPr>
            <xdr:cNvPr id="33798" name="Button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4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REGISTRAR OPERADOR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ctrlProp" Target="../ctrlProps/ctrlProp18.xml"/><Relationship Id="rId7" Type="http://schemas.openxmlformats.org/officeDocument/2006/relationships/ctrlProp" Target="../ctrlProps/ctrlProp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55363-EE63-4A7F-BFA5-D9F825C13391}">
  <sheetPr codeName="Sheet1"/>
  <dimension ref="A1:H9"/>
  <sheetViews>
    <sheetView showGridLines="0" tabSelected="1" zoomScale="87" workbookViewId="0">
      <selection activeCell="B5" sqref="B5"/>
    </sheetView>
  </sheetViews>
  <sheetFormatPr defaultColWidth="0" defaultRowHeight="15" zeroHeight="1" x14ac:dyDescent="0.25"/>
  <cols>
    <col min="1" max="1" width="46" style="91" customWidth="1"/>
    <col min="2" max="2" width="58.28515625" style="92" customWidth="1"/>
    <col min="3" max="3" width="27.5703125" style="93" customWidth="1"/>
    <col min="4" max="4" width="34.85546875" customWidth="1"/>
    <col min="5" max="8" width="8.85546875" customWidth="1"/>
    <col min="9" max="16384" width="8.85546875" hidden="1"/>
  </cols>
  <sheetData>
    <row r="1" spans="1:5" ht="14.45" customHeight="1" x14ac:dyDescent="0.25">
      <c r="A1" s="94" t="s">
        <v>7</v>
      </c>
      <c r="B1" s="95"/>
      <c r="C1" s="95"/>
      <c r="D1" s="96"/>
    </row>
    <row r="2" spans="1:5" ht="15" customHeight="1" thickBot="1" x14ac:dyDescent="0.3">
      <c r="A2" s="97"/>
      <c r="B2" s="98"/>
      <c r="C2" s="98"/>
      <c r="D2" s="99"/>
    </row>
    <row r="3" spans="1:5" ht="42" x14ac:dyDescent="0.25">
      <c r="A3" s="3" t="s">
        <v>6</v>
      </c>
      <c r="B3" s="4" t="s">
        <v>0</v>
      </c>
      <c r="C3" s="5" t="s">
        <v>1</v>
      </c>
      <c r="D3" s="6" t="s">
        <v>10</v>
      </c>
    </row>
    <row r="4" spans="1:5" ht="55.9" customHeight="1" thickBot="1" x14ac:dyDescent="0.3">
      <c r="A4" s="7" t="s">
        <v>61</v>
      </c>
      <c r="B4" s="8" t="s">
        <v>60</v>
      </c>
      <c r="C4" s="9"/>
      <c r="D4" s="14">
        <v>400</v>
      </c>
    </row>
    <row r="5" spans="1:5" ht="38.25" customHeight="1" x14ac:dyDescent="0.25">
      <c r="A5" s="2"/>
      <c r="B5" s="1"/>
      <c r="C5" s="5" t="s">
        <v>64</v>
      </c>
      <c r="E5" s="2"/>
    </row>
    <row r="6" spans="1:5" ht="57.75" customHeight="1" thickBot="1" x14ac:dyDescent="0.3">
      <c r="A6"/>
      <c r="B6"/>
      <c r="C6" s="9">
        <v>0.28000000000000003</v>
      </c>
      <c r="E6" s="2"/>
    </row>
    <row r="7" spans="1:5" ht="20.25" customHeight="1" x14ac:dyDescent="0.25">
      <c r="A7" s="88" t="s">
        <v>8</v>
      </c>
      <c r="B7" s="89"/>
      <c r="C7" s="90"/>
    </row>
    <row r="8" spans="1:5" ht="26.25" customHeight="1" x14ac:dyDescent="0.25">
      <c r="E8" s="2"/>
    </row>
    <row r="9" spans="1:5" x14ac:dyDescent="0.25"/>
  </sheetData>
  <mergeCells count="2">
    <mergeCell ref="A7:C1048576"/>
    <mergeCell ref="A1:D2"/>
  </mergeCells>
  <dataValidations count="3">
    <dataValidation type="list" allowBlank="1" showInputMessage="1" showErrorMessage="1" sqref="B4" xr:uid="{C3F0F2FA-8BEE-463F-964A-8461F78AA34A}">
      <formula1>"Patchcord MTPPC(F)-MTPPC(F) OM4 12F, Hydra MTPPC(F)-LCPC SX OM4 12F"</formula1>
    </dataValidation>
    <dataValidation type="list" allowBlank="1" showInputMessage="1" showErrorMessage="1" sqref="C4" xr:uid="{D29F3FD3-B70F-4E0E-9B5E-94DCD5F43515}">
      <formula1>"6,8,10,15,20,25,30,35,40,45,50,55,60,65,70,75,80,85,90,95,100,110,120,130,140,150,160,170,180,190,200,210,220,230,240,250"</formula1>
    </dataValidation>
    <dataValidation type="list" allowBlank="1" showInputMessage="1" showErrorMessage="1" sqref="C6" xr:uid="{4C0BE4FF-EBD0-44C8-A035-70ED0795B309}">
      <formula1>"0.28,0.38,0.60,1,2,2,3,5,6,8,9,11,12,14,15,17,18,20,21,23,24,26,27,29,30,34,37,40,43,46,49,52,55,58,61,64,67,70,73,76"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GenerarPlantilla">
                <anchor moveWithCells="1" sizeWithCells="1">
                  <from>
                    <xdr:col>3</xdr:col>
                    <xdr:colOff>361950</xdr:colOff>
                    <xdr:row>6</xdr:row>
                    <xdr:rowOff>38100</xdr:rowOff>
                  </from>
                  <to>
                    <xdr:col>7</xdr:col>
                    <xdr:colOff>457200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Historial">
                <anchor moveWithCells="1" sizeWithCells="1">
                  <from>
                    <xdr:col>4</xdr:col>
                    <xdr:colOff>209550</xdr:colOff>
                    <xdr:row>0</xdr:row>
                    <xdr:rowOff>133350</xdr:rowOff>
                  </from>
                  <to>
                    <xdr:col>5</xdr:col>
                    <xdr:colOff>457200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cultarHistorial">
                <anchor moveWithCells="1" sizeWithCells="1">
                  <from>
                    <xdr:col>4</xdr:col>
                    <xdr:colOff>209550</xdr:colOff>
                    <xdr:row>2</xdr:row>
                    <xdr:rowOff>133350</xdr:rowOff>
                  </from>
                  <to>
                    <xdr:col>5</xdr:col>
                    <xdr:colOff>447675</xdr:colOff>
                    <xdr:row>2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03CA9-EA96-48BB-9F7B-3110CB3CFD7D}">
  <sheetPr codeName="Sheet7"/>
  <dimension ref="A1:C1"/>
  <sheetViews>
    <sheetView workbookViewId="0">
      <selection activeCell="B6" sqref="B6"/>
    </sheetView>
  </sheetViews>
  <sheetFormatPr defaultRowHeight="18.75" x14ac:dyDescent="0.25"/>
  <cols>
    <col min="1" max="1" width="27.28515625" style="118" customWidth="1"/>
    <col min="2" max="2" width="51.85546875" style="119" bestFit="1" customWidth="1"/>
  </cols>
  <sheetData>
    <row r="1" spans="1:3" x14ac:dyDescent="0.25">
      <c r="A1" s="117">
        <v>260300001</v>
      </c>
      <c r="B1" s="117" t="s">
        <v>63</v>
      </c>
      <c r="C1" s="11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8D588-568F-49FF-90C7-E6B8CD7E0FEF}">
  <sheetPr codeName="Sheet2"/>
  <dimension ref="A1:N55"/>
  <sheetViews>
    <sheetView showGridLines="0" zoomScale="12" zoomScaleNormal="70" workbookViewId="0">
      <selection activeCell="A6" sqref="A6"/>
    </sheetView>
  </sheetViews>
  <sheetFormatPr defaultColWidth="9.140625" defaultRowHeight="61.5" x14ac:dyDescent="0.9"/>
  <cols>
    <col min="1" max="1" width="128.5703125" style="35" bestFit="1" customWidth="1"/>
    <col min="2" max="2" width="220.42578125" style="57" bestFit="1" customWidth="1"/>
    <col min="3" max="3" width="180.7109375" style="57" bestFit="1" customWidth="1"/>
    <col min="4" max="4" width="166.7109375" style="30" bestFit="1" customWidth="1"/>
    <col min="5" max="5" width="196.140625" style="35" bestFit="1" customWidth="1"/>
    <col min="6" max="6" width="27.28515625" style="15" customWidth="1"/>
    <col min="7" max="7" width="222.28515625" style="53" customWidth="1"/>
    <col min="8" max="8" width="251.140625" style="53" customWidth="1"/>
    <col min="9" max="9" width="5.42578125" style="15" customWidth="1"/>
    <col min="10" max="10" width="128.5703125" style="35" bestFit="1" customWidth="1"/>
    <col min="11" max="11" width="220.42578125" style="57" bestFit="1" customWidth="1"/>
    <col min="12" max="12" width="180.7109375" style="57" bestFit="1" customWidth="1"/>
    <col min="13" max="13" width="166.7109375" style="30" bestFit="1" customWidth="1"/>
    <col min="14" max="14" width="196.140625" style="35" bestFit="1" customWidth="1"/>
    <col min="15" max="16384" width="9.140625" style="15"/>
  </cols>
  <sheetData>
    <row r="1" spans="1:14" ht="128.25" thickBot="1" x14ac:dyDescent="1.9">
      <c r="A1" s="59" t="s">
        <v>44</v>
      </c>
      <c r="B1" s="60"/>
      <c r="C1" s="60"/>
      <c r="D1" s="60"/>
      <c r="E1" s="61"/>
      <c r="G1" s="100"/>
      <c r="H1" s="62"/>
      <c r="J1" s="59" t="s">
        <v>45</v>
      </c>
      <c r="K1" s="60"/>
      <c r="L1" s="60"/>
      <c r="M1" s="60"/>
      <c r="N1" s="61"/>
    </row>
    <row r="2" spans="1:14" ht="141.75" thickBot="1" x14ac:dyDescent="0.3">
      <c r="A2" s="16" t="s">
        <v>2</v>
      </c>
      <c r="B2" s="17" t="s">
        <v>3</v>
      </c>
      <c r="C2" s="18" t="s">
        <v>5</v>
      </c>
      <c r="D2" s="18" t="s">
        <v>4</v>
      </c>
      <c r="E2" s="19" t="s">
        <v>46</v>
      </c>
      <c r="F2" s="20"/>
      <c r="G2" s="63"/>
      <c r="H2" s="64"/>
      <c r="I2" s="21"/>
      <c r="J2" s="16" t="s">
        <v>2</v>
      </c>
      <c r="K2" s="17" t="s">
        <v>3</v>
      </c>
      <c r="L2" s="18" t="s">
        <v>5</v>
      </c>
      <c r="M2" s="18" t="s">
        <v>4</v>
      </c>
      <c r="N2" s="19" t="s">
        <v>46</v>
      </c>
    </row>
    <row r="3" spans="1:14" ht="70.5" x14ac:dyDescent="0.9">
      <c r="A3" s="22"/>
      <c r="B3" s="23"/>
      <c r="C3" s="24"/>
      <c r="D3" s="25"/>
      <c r="E3" s="26"/>
      <c r="G3" s="27" t="s">
        <v>47</v>
      </c>
      <c r="H3" s="27" t="s">
        <v>47</v>
      </c>
      <c r="J3" s="28"/>
      <c r="K3" s="29"/>
      <c r="L3" s="24"/>
      <c r="N3" s="31"/>
    </row>
    <row r="4" spans="1:14" x14ac:dyDescent="0.9">
      <c r="A4" s="22"/>
      <c r="B4" s="23"/>
      <c r="C4" s="24"/>
      <c r="D4" s="25"/>
      <c r="E4" s="26"/>
      <c r="G4" s="66">
        <f>COUNTIF(A:A,"TEV*")</f>
        <v>0</v>
      </c>
      <c r="H4" s="66">
        <f>COUNTIF(J:J,"TEV*")</f>
        <v>0</v>
      </c>
      <c r="J4" s="28"/>
      <c r="K4" s="29"/>
      <c r="L4" s="24"/>
      <c r="N4" s="31"/>
    </row>
    <row r="5" spans="1:14" x14ac:dyDescent="0.9">
      <c r="A5" s="22"/>
      <c r="B5" s="23"/>
      <c r="C5" s="24"/>
      <c r="D5" s="25"/>
      <c r="E5" s="26"/>
      <c r="G5" s="67"/>
      <c r="H5" s="67"/>
      <c r="J5" s="28"/>
      <c r="K5" s="29"/>
      <c r="L5" s="24"/>
      <c r="N5" s="31"/>
    </row>
    <row r="6" spans="1:14" ht="62.25" thickBot="1" x14ac:dyDescent="0.95">
      <c r="A6" s="22"/>
      <c r="B6" s="23"/>
      <c r="C6" s="24"/>
      <c r="D6" s="25"/>
      <c r="E6" s="26"/>
      <c r="G6" s="68"/>
      <c r="H6" s="68"/>
      <c r="J6" s="28"/>
      <c r="K6" s="29"/>
      <c r="L6" s="24"/>
      <c r="N6" s="31"/>
    </row>
    <row r="7" spans="1:14" ht="62.25" thickBot="1" x14ac:dyDescent="0.95">
      <c r="A7" s="22"/>
      <c r="B7" s="23"/>
      <c r="C7" s="24"/>
      <c r="D7" s="25"/>
      <c r="E7" s="26"/>
      <c r="G7" s="15"/>
      <c r="H7" s="15"/>
      <c r="J7" s="28"/>
      <c r="K7" s="29"/>
      <c r="L7" s="24"/>
      <c r="N7" s="31"/>
    </row>
    <row r="8" spans="1:14" ht="62.25" thickBot="1" x14ac:dyDescent="0.95">
      <c r="A8" s="22"/>
      <c r="B8" s="23"/>
      <c r="C8" s="24"/>
      <c r="D8" s="25"/>
      <c r="E8" s="26"/>
      <c r="G8" s="69" t="s">
        <v>48</v>
      </c>
      <c r="H8" s="70"/>
      <c r="J8" s="28"/>
      <c r="K8" s="29"/>
      <c r="L8" s="24"/>
      <c r="N8" s="31"/>
    </row>
    <row r="9" spans="1:14" ht="71.25" thickBot="1" x14ac:dyDescent="0.95">
      <c r="A9" s="22"/>
      <c r="B9" s="23"/>
      <c r="C9" s="24"/>
      <c r="D9" s="25"/>
      <c r="E9" s="26"/>
      <c r="G9" s="32" t="s">
        <v>49</v>
      </c>
      <c r="H9" s="32" t="s">
        <v>50</v>
      </c>
      <c r="J9" s="28"/>
      <c r="K9" s="29"/>
      <c r="L9" s="24"/>
      <c r="N9" s="31"/>
    </row>
    <row r="10" spans="1:14" ht="61.15" customHeight="1" x14ac:dyDescent="0.9">
      <c r="A10" s="22"/>
      <c r="B10" s="23"/>
      <c r="C10" s="24"/>
      <c r="D10" s="25"/>
      <c r="E10" s="26"/>
      <c r="G10" s="71" t="s">
        <v>9</v>
      </c>
      <c r="H10" s="71"/>
      <c r="J10" s="28"/>
      <c r="K10" s="29"/>
      <c r="L10" s="24"/>
      <c r="N10" s="31"/>
    </row>
    <row r="11" spans="1:14" ht="61.15" customHeight="1" x14ac:dyDescent="0.9">
      <c r="A11" s="22"/>
      <c r="B11" s="23"/>
      <c r="C11" s="24"/>
      <c r="D11" s="25"/>
      <c r="E11" s="26"/>
      <c r="G11" s="72"/>
      <c r="H11" s="72"/>
      <c r="J11" s="28"/>
      <c r="K11" s="29"/>
      <c r="L11" s="24"/>
      <c r="N11" s="31"/>
    </row>
    <row r="12" spans="1:14" ht="61.15" customHeight="1" x14ac:dyDescent="0.9">
      <c r="A12" s="22"/>
      <c r="B12" s="23"/>
      <c r="C12" s="24"/>
      <c r="D12" s="25"/>
      <c r="E12" s="26"/>
      <c r="G12" s="72"/>
      <c r="H12" s="72"/>
      <c r="J12" s="28"/>
      <c r="K12" s="29"/>
      <c r="L12" s="24"/>
      <c r="N12" s="31"/>
    </row>
    <row r="13" spans="1:14" ht="61.15" customHeight="1" x14ac:dyDescent="0.9">
      <c r="A13" s="28"/>
      <c r="B13" s="29"/>
      <c r="C13" s="33"/>
      <c r="D13" s="25"/>
      <c r="E13" s="26"/>
      <c r="G13" s="72"/>
      <c r="H13" s="72"/>
      <c r="J13" s="28"/>
      <c r="K13" s="29"/>
      <c r="L13" s="33"/>
      <c r="N13" s="31"/>
    </row>
    <row r="14" spans="1:14" ht="61.15" customHeight="1" x14ac:dyDescent="0.9">
      <c r="A14" s="28"/>
      <c r="B14" s="29"/>
      <c r="C14" s="33"/>
      <c r="D14" s="25"/>
      <c r="E14" s="26"/>
      <c r="G14" s="73"/>
      <c r="H14" s="73"/>
      <c r="J14" s="28"/>
      <c r="K14" s="29"/>
      <c r="L14" s="33"/>
      <c r="N14" s="31"/>
    </row>
    <row r="15" spans="1:14" ht="62.25" thickBot="1" x14ac:dyDescent="0.95">
      <c r="A15" s="28"/>
      <c r="B15" s="29"/>
      <c r="C15" s="33"/>
      <c r="D15" s="25"/>
      <c r="E15" s="26"/>
      <c r="G15" s="34"/>
      <c r="H15" s="34"/>
      <c r="J15" s="28"/>
      <c r="K15" s="29"/>
      <c r="L15" s="33"/>
      <c r="N15" s="31"/>
    </row>
    <row r="16" spans="1:14" ht="71.25" thickBot="1" x14ac:dyDescent="0.95">
      <c r="A16" s="28"/>
      <c r="B16" s="29"/>
      <c r="C16" s="33"/>
      <c r="D16" s="25"/>
      <c r="E16" s="26"/>
      <c r="G16" s="74" t="s">
        <v>11</v>
      </c>
      <c r="H16" s="75"/>
      <c r="J16" s="28"/>
      <c r="K16" s="29"/>
      <c r="L16" s="33"/>
    </row>
    <row r="17" spans="4:8" x14ac:dyDescent="0.9">
      <c r="D17" s="25"/>
      <c r="E17" s="26"/>
      <c r="G17" s="36"/>
      <c r="H17" s="37"/>
    </row>
    <row r="18" spans="4:8" x14ac:dyDescent="0.9">
      <c r="D18" s="25"/>
      <c r="E18" s="26"/>
      <c r="G18" s="38"/>
      <c r="H18" s="39"/>
    </row>
    <row r="19" spans="4:8" x14ac:dyDescent="0.9">
      <c r="D19" s="25"/>
      <c r="E19" s="26"/>
      <c r="G19" s="38"/>
      <c r="H19" s="39"/>
    </row>
    <row r="20" spans="4:8" ht="62.25" thickBot="1" x14ac:dyDescent="0.95">
      <c r="D20" s="25"/>
      <c r="E20" s="26"/>
      <c r="G20" s="40"/>
      <c r="H20" s="41"/>
    </row>
    <row r="21" spans="4:8" ht="62.25" thickBot="1" x14ac:dyDescent="0.95">
      <c r="D21" s="25"/>
      <c r="E21" s="26"/>
      <c r="G21" s="42"/>
      <c r="H21" s="43"/>
    </row>
    <row r="22" spans="4:8" ht="63.75" x14ac:dyDescent="0.9">
      <c r="D22" s="25"/>
      <c r="E22" s="26"/>
      <c r="G22" s="44"/>
      <c r="H22" s="45"/>
    </row>
    <row r="23" spans="4:8" ht="61.15" customHeight="1" x14ac:dyDescent="0.9">
      <c r="D23" s="25"/>
      <c r="E23" s="26"/>
      <c r="G23" s="44"/>
      <c r="H23" s="46"/>
    </row>
    <row r="24" spans="4:8" ht="61.9" customHeight="1" thickBot="1" x14ac:dyDescent="0.95">
      <c r="D24" s="25"/>
      <c r="E24" s="26"/>
      <c r="G24" s="15"/>
      <c r="H24" s="15"/>
    </row>
    <row r="25" spans="4:8" x14ac:dyDescent="0.9">
      <c r="D25" s="25"/>
      <c r="E25" s="26"/>
      <c r="G25" s="47"/>
      <c r="H25" s="48"/>
    </row>
    <row r="26" spans="4:8" ht="64.5" x14ac:dyDescent="0.95">
      <c r="D26" s="25"/>
      <c r="E26" s="26"/>
      <c r="G26" s="49"/>
      <c r="H26" s="50"/>
    </row>
    <row r="27" spans="4:8" ht="64.5" x14ac:dyDescent="0.95">
      <c r="D27" s="25"/>
      <c r="E27" s="26"/>
      <c r="G27" s="51"/>
      <c r="H27" s="52"/>
    </row>
    <row r="28" spans="4:8" ht="64.5" x14ac:dyDescent="0.95">
      <c r="D28" s="25"/>
      <c r="E28" s="26"/>
      <c r="G28" s="51"/>
      <c r="H28" s="52"/>
    </row>
    <row r="29" spans="4:8" ht="64.5" x14ac:dyDescent="0.95">
      <c r="D29" s="25"/>
      <c r="E29" s="26"/>
      <c r="G29" s="51"/>
      <c r="H29" s="52"/>
    </row>
    <row r="30" spans="4:8" ht="62.25" thickBot="1" x14ac:dyDescent="0.95">
      <c r="D30" s="25"/>
      <c r="E30" s="26"/>
      <c r="G30" s="15"/>
      <c r="H30" s="15"/>
    </row>
    <row r="31" spans="4:8" x14ac:dyDescent="0.9">
      <c r="D31" s="25"/>
      <c r="E31" s="26"/>
      <c r="G31" s="76" t="s">
        <v>51</v>
      </c>
      <c r="H31" s="77"/>
    </row>
    <row r="32" spans="4:8" ht="62.25" thickBot="1" x14ac:dyDescent="0.95">
      <c r="D32" s="25"/>
      <c r="E32" s="26"/>
      <c r="G32" s="78"/>
      <c r="H32" s="79"/>
    </row>
    <row r="33" spans="4:8" x14ac:dyDescent="0.9">
      <c r="D33" s="25"/>
      <c r="E33" s="26"/>
      <c r="G33" s="80"/>
      <c r="H33" s="81"/>
    </row>
    <row r="34" spans="4:8" x14ac:dyDescent="0.9">
      <c r="D34" s="25"/>
      <c r="E34" s="26"/>
      <c r="G34" s="82"/>
      <c r="H34" s="83"/>
    </row>
    <row r="35" spans="4:8" x14ac:dyDescent="0.9">
      <c r="D35" s="25"/>
      <c r="E35" s="26"/>
      <c r="G35" s="82"/>
      <c r="H35" s="83"/>
    </row>
    <row r="36" spans="4:8" x14ac:dyDescent="0.9">
      <c r="D36" s="25"/>
      <c r="E36" s="26"/>
      <c r="G36" s="82"/>
      <c r="H36" s="83"/>
    </row>
    <row r="37" spans="4:8" x14ac:dyDescent="0.9">
      <c r="D37" s="25"/>
      <c r="E37" s="26"/>
      <c r="G37" s="82"/>
      <c r="H37" s="83"/>
    </row>
    <row r="38" spans="4:8" x14ac:dyDescent="0.9">
      <c r="D38" s="25"/>
      <c r="E38" s="26"/>
      <c r="G38" s="82"/>
      <c r="H38" s="83"/>
    </row>
    <row r="39" spans="4:8" ht="62.25" thickBot="1" x14ac:dyDescent="0.95">
      <c r="D39" s="25"/>
      <c r="E39" s="26"/>
      <c r="G39" s="84"/>
      <c r="H39" s="85"/>
    </row>
    <row r="40" spans="4:8" x14ac:dyDescent="0.9">
      <c r="D40" s="25"/>
      <c r="E40" s="26"/>
      <c r="G40" s="15"/>
      <c r="H40" s="15"/>
    </row>
    <row r="41" spans="4:8" ht="62.25" thickBot="1" x14ac:dyDescent="0.95">
      <c r="D41" s="25"/>
      <c r="E41" s="26"/>
      <c r="G41" s="15"/>
      <c r="H41" s="15"/>
    </row>
    <row r="42" spans="4:8" x14ac:dyDescent="0.9">
      <c r="D42" s="25"/>
      <c r="E42" s="26"/>
      <c r="G42" s="76" t="s">
        <v>52</v>
      </c>
      <c r="H42" s="77"/>
    </row>
    <row r="43" spans="4:8" ht="84.6" customHeight="1" thickBot="1" x14ac:dyDescent="0.95">
      <c r="D43" s="25"/>
      <c r="E43" s="26"/>
      <c r="G43" s="78"/>
      <c r="H43" s="79"/>
    </row>
    <row r="44" spans="4:8" x14ac:dyDescent="0.9">
      <c r="D44" s="25"/>
      <c r="E44" s="26"/>
      <c r="G44" s="80"/>
      <c r="H44" s="81"/>
    </row>
    <row r="45" spans="4:8" x14ac:dyDescent="0.9">
      <c r="D45" s="25"/>
      <c r="E45" s="26"/>
      <c r="G45" s="82"/>
      <c r="H45" s="83"/>
    </row>
    <row r="46" spans="4:8" x14ac:dyDescent="0.9">
      <c r="E46" s="31"/>
      <c r="G46" s="82"/>
      <c r="H46" s="83"/>
    </row>
    <row r="47" spans="4:8" x14ac:dyDescent="0.9">
      <c r="G47" s="82"/>
      <c r="H47" s="83"/>
    </row>
    <row r="48" spans="4:8" x14ac:dyDescent="0.9">
      <c r="G48" s="82"/>
      <c r="H48" s="83"/>
    </row>
    <row r="49" spans="7:8" x14ac:dyDescent="0.9">
      <c r="G49" s="82"/>
      <c r="H49" s="83"/>
    </row>
    <row r="50" spans="7:8" ht="62.25" thickBot="1" x14ac:dyDescent="0.95">
      <c r="G50" s="84"/>
      <c r="H50" s="85"/>
    </row>
    <row r="52" spans="7:8" ht="62.25" thickBot="1" x14ac:dyDescent="0.95"/>
    <row r="53" spans="7:8" ht="90" thickBot="1" x14ac:dyDescent="1.35">
      <c r="G53" s="86" t="s">
        <v>53</v>
      </c>
      <c r="H53" s="87"/>
    </row>
    <row r="54" spans="7:8" ht="94.5" thickBot="1" x14ac:dyDescent="0.95">
      <c r="G54" s="54" t="s">
        <v>54</v>
      </c>
      <c r="H54" s="54" t="s">
        <v>55</v>
      </c>
    </row>
    <row r="55" spans="7:8" ht="225" customHeight="1" x14ac:dyDescent="0.9">
      <c r="G55" s="55"/>
      <c r="H55" s="56"/>
    </row>
  </sheetData>
  <mergeCells count="15">
    <mergeCell ref="A1:E1"/>
    <mergeCell ref="G1:H1"/>
    <mergeCell ref="J1:N1"/>
    <mergeCell ref="G2:H2"/>
    <mergeCell ref="G4:G6"/>
    <mergeCell ref="H4:H6"/>
    <mergeCell ref="G42:H43"/>
    <mergeCell ref="G44:H50"/>
    <mergeCell ref="G53:H53"/>
    <mergeCell ref="G8:H8"/>
    <mergeCell ref="G10:G14"/>
    <mergeCell ref="H10:H14"/>
    <mergeCell ref="G16:H16"/>
    <mergeCell ref="G31:H32"/>
    <mergeCell ref="G33:H39"/>
  </mergeCells>
  <conditionalFormatting sqref="B17:B1048576 K17:K1048576">
    <cfRule type="containsText" dxfId="27" priority="14" operator="containsText" text="Descripción no encontrada">
      <formula>NOT(ISERROR(SEARCH("Descripción no encontrada",B17)))</formula>
    </cfRule>
  </conditionalFormatting>
  <conditionalFormatting sqref="C17:C1048576 L17:L1048576">
    <cfRule type="containsText" dxfId="26" priority="12" operator="containsText" text="Duplicado en">
      <formula>NOT(ISERROR(SEARCH("Duplicado en",C17)))</formula>
    </cfRule>
    <cfRule type="containsText" dxfId="25" priority="13" operator="containsText" text="Válido">
      <formula>NOT(ISERROR(SEARCH("Válido",C17)))</formula>
    </cfRule>
  </conditionalFormatting>
  <conditionalFormatting sqref="H22:H23">
    <cfRule type="endsWith" dxfId="24" priority="11" operator="endsWith" text="APROBADO">
      <formula>RIGHT(H22,LEN("APROBADO"))="APROBADO"</formula>
    </cfRule>
  </conditionalFormatting>
  <conditionalFormatting sqref="C1:C1048576">
    <cfRule type="containsText" dxfId="23" priority="6" operator="containsText" text="Formato incorrecto">
      <formula>NOT(ISERROR(SEARCH("Formato incorrecto",C1)))</formula>
    </cfRule>
    <cfRule type="containsText" dxfId="22" priority="7" operator="containsText" text="Duplicado en">
      <formula>NOT(ISERROR(SEARCH("Duplicado en",C1)))</formula>
    </cfRule>
    <cfRule type="containsText" dxfId="21" priority="8" operator="containsText" text="No encontrado en">
      <formula>NOT(ISERROR(SEARCH("No encontrado en",C1)))</formula>
    </cfRule>
    <cfRule type="containsText" dxfId="20" priority="9" operator="containsText" text="RECHAZADO">
      <formula>NOT(ISERROR(SEARCH("RECHAZADO",C1)))</formula>
    </cfRule>
    <cfRule type="containsText" dxfId="19" priority="10" operator="containsText" text="APROBADO en ambos análisis">
      <formula>NOT(ISERROR(SEARCH("APROBADO en ambos análisis",C1)))</formula>
    </cfRule>
  </conditionalFormatting>
  <conditionalFormatting sqref="L3:L1048576">
    <cfRule type="containsText" dxfId="18" priority="1" operator="containsText" text="Formato incorrecto">
      <formula>NOT(ISERROR(SEARCH("Formato incorrecto",L3)))</formula>
    </cfRule>
    <cfRule type="containsText" dxfId="17" priority="2" operator="containsText" text="Duplicado en">
      <formula>NOT(ISERROR(SEARCH("Duplicado en",L3)))</formula>
    </cfRule>
    <cfRule type="containsText" dxfId="16" priority="3" operator="containsText" text="No encontrado en">
      <formula>NOT(ISERROR(SEARCH("No encontrado en",L3)))</formula>
    </cfRule>
    <cfRule type="containsText" dxfId="15" priority="4" operator="containsText" text="RECHAZADO">
      <formula>NOT(ISERROR(SEARCH("RECHAZADO",L3)))</formula>
    </cfRule>
    <cfRule type="containsText" dxfId="14" priority="5" operator="containsText" text="APROBADO en ambos análisis">
      <formula>NOT(ISERROR(SEARCH("APROBADO en ambos análisis",L3)))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2033" r:id="rId3" name="Button 1">
              <controlPr locked="0" defaultSize="0" print="0" autoFill="0" autoPict="0" macro="[0]!ConfirmacionProduccion_Click">
                <anchor moveWithCells="1" sizeWithCells="1">
                  <from>
                    <xdr:col>6</xdr:col>
                    <xdr:colOff>3028950</xdr:colOff>
                    <xdr:row>9</xdr:row>
                    <xdr:rowOff>209550</xdr:rowOff>
                  </from>
                  <to>
                    <xdr:col>6</xdr:col>
                    <xdr:colOff>12915900</xdr:colOff>
                    <xdr:row>13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4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3514725</xdr:colOff>
                    <xdr:row>9</xdr:row>
                    <xdr:rowOff>171450</xdr:rowOff>
                  </from>
                  <to>
                    <xdr:col>7</xdr:col>
                    <xdr:colOff>13363575</xdr:colOff>
                    <xdr:row>13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5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4229100</xdr:colOff>
                    <xdr:row>16</xdr:row>
                    <xdr:rowOff>114300</xdr:rowOff>
                  </from>
                  <to>
                    <xdr:col>7</xdr:col>
                    <xdr:colOff>13030200</xdr:colOff>
                    <xdr:row>19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6" r:id="rId6" name="Button 4">
              <controlPr defaultSize="0" print="0" autoFill="0" autoPict="0" macro="[0]!CerrarLote">
                <anchor moveWithCells="1" sizeWithCells="1">
                  <from>
                    <xdr:col>6</xdr:col>
                    <xdr:colOff>6391275</xdr:colOff>
                    <xdr:row>32</xdr:row>
                    <xdr:rowOff>342900</xdr:rowOff>
                  </from>
                  <to>
                    <xdr:col>7</xdr:col>
                    <xdr:colOff>11563350</xdr:colOff>
                    <xdr:row>38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7" r:id="rId7" name="Button 5">
              <controlPr defaultSize="0" print="0" autoFill="0" autoPict="0" macro="[0]!ConfirmarLoteEmpaque">
                <anchor moveWithCells="1" sizeWithCells="1">
                  <from>
                    <xdr:col>6</xdr:col>
                    <xdr:colOff>6391275</xdr:colOff>
                    <xdr:row>43</xdr:row>
                    <xdr:rowOff>342900</xdr:rowOff>
                  </from>
                  <to>
                    <xdr:col>7</xdr:col>
                    <xdr:colOff>11563350</xdr:colOff>
                    <xdr:row>49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8" r:id="rId8" name="Button 6">
              <controlPr defaultSize="0" print="0" autoFill="0" autoPict="0" macro="[0]!EliminarLote">
                <anchor moveWithCells="1" sizeWithCells="1">
                  <from>
                    <xdr:col>7</xdr:col>
                    <xdr:colOff>11649075</xdr:colOff>
                    <xdr:row>50</xdr:row>
                    <xdr:rowOff>171450</xdr:rowOff>
                  </from>
                  <to>
                    <xdr:col>7</xdr:col>
                    <xdr:colOff>17087850</xdr:colOff>
                    <xdr:row>51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39" r:id="rId9" name="Button 7">
              <controlPr defaultSize="0" print="0" autoFill="0" autoPict="0" macro="[0]!DesbloquearLote">
                <anchor moveWithCells="1" sizeWithCells="1">
                  <from>
                    <xdr:col>6</xdr:col>
                    <xdr:colOff>57150</xdr:colOff>
                    <xdr:row>50</xdr:row>
                    <xdr:rowOff>323850</xdr:rowOff>
                  </from>
                  <to>
                    <xdr:col>6</xdr:col>
                    <xdr:colOff>6429375</xdr:colOff>
                    <xdr:row>51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3EE42-8C88-4DA3-8C54-69E52439B2AD}">
  <sheetPr codeName="Sheet5"/>
  <dimension ref="A2:E2"/>
  <sheetViews>
    <sheetView workbookViewId="0">
      <selection activeCell="E17" sqref="E17"/>
    </sheetView>
  </sheetViews>
  <sheetFormatPr defaultRowHeight="15" x14ac:dyDescent="0.25"/>
  <sheetData>
    <row r="2" spans="1:5" x14ac:dyDescent="0.25">
      <c r="A2" s="58">
        <v>45952.67460648148</v>
      </c>
      <c r="B2" t="s">
        <v>56</v>
      </c>
      <c r="C2" t="s">
        <v>57</v>
      </c>
      <c r="D2" t="s">
        <v>58</v>
      </c>
      <c r="E2" t="s">
        <v>59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C8263-91E9-444A-A811-E3009012665C}">
  <sheetPr codeName="Sheet3"/>
  <dimension ref="A1:CS55"/>
  <sheetViews>
    <sheetView showGridLines="0" zoomScale="12" zoomScaleNormal="70" workbookViewId="0">
      <selection activeCell="B18" sqref="B18"/>
    </sheetView>
  </sheetViews>
  <sheetFormatPr defaultColWidth="9.140625" defaultRowHeight="61.5" x14ac:dyDescent="0.9"/>
  <cols>
    <col min="1" max="1" width="128.5703125" style="35" bestFit="1" customWidth="1"/>
    <col min="2" max="2" width="220.42578125" style="57" bestFit="1" customWidth="1"/>
    <col min="3" max="3" width="234.28515625" style="57" customWidth="1"/>
    <col min="4" max="4" width="166.7109375" style="30" bestFit="1" customWidth="1"/>
    <col min="5" max="5" width="196.140625" style="35" bestFit="1" customWidth="1"/>
    <col min="6" max="6" width="27.28515625" style="15" customWidth="1"/>
    <col min="7" max="7" width="222.28515625" style="53" customWidth="1"/>
    <col min="8" max="8" width="251.140625" style="53" customWidth="1"/>
    <col min="9" max="9" width="5.42578125" style="15" customWidth="1"/>
    <col min="10" max="10" width="128.5703125" style="35" bestFit="1" customWidth="1"/>
    <col min="11" max="11" width="220.42578125" style="57" bestFit="1" customWidth="1"/>
    <col min="12" max="12" width="231.85546875" style="57" customWidth="1"/>
    <col min="13" max="13" width="166.7109375" style="30" bestFit="1" customWidth="1"/>
    <col min="14" max="14" width="196.140625" style="35" bestFit="1" customWidth="1"/>
    <col min="15" max="16384" width="9.140625" style="15"/>
  </cols>
  <sheetData>
    <row r="1" spans="1:97" ht="128.25" thickBot="1" x14ac:dyDescent="1.9">
      <c r="A1" s="59" t="s">
        <v>44</v>
      </c>
      <c r="B1" s="60"/>
      <c r="C1" s="60"/>
      <c r="D1" s="60"/>
      <c r="E1" s="61"/>
      <c r="G1" s="100"/>
      <c r="H1" s="62"/>
      <c r="J1" s="59" t="s">
        <v>45</v>
      </c>
      <c r="K1" s="60"/>
      <c r="L1" s="60"/>
      <c r="M1" s="60"/>
      <c r="N1" s="61"/>
    </row>
    <row r="2" spans="1:97" ht="141.75" thickBot="1" x14ac:dyDescent="0.3">
      <c r="A2" s="16" t="s">
        <v>2</v>
      </c>
      <c r="B2" s="17" t="s">
        <v>3</v>
      </c>
      <c r="C2" s="18" t="s">
        <v>5</v>
      </c>
      <c r="D2" s="18" t="s">
        <v>4</v>
      </c>
      <c r="E2" s="19" t="s">
        <v>46</v>
      </c>
      <c r="F2" s="20"/>
      <c r="G2" s="63"/>
      <c r="H2" s="64"/>
      <c r="I2" s="21"/>
      <c r="J2" s="16" t="s">
        <v>2</v>
      </c>
      <c r="K2" s="17" t="s">
        <v>3</v>
      </c>
      <c r="L2" s="18" t="s">
        <v>5</v>
      </c>
      <c r="M2" s="18" t="s">
        <v>4</v>
      </c>
      <c r="N2" s="19" t="s">
        <v>46</v>
      </c>
    </row>
    <row r="3" spans="1:97" ht="70.5" x14ac:dyDescent="0.9">
      <c r="A3" s="22"/>
      <c r="B3" s="23"/>
      <c r="C3" s="24"/>
      <c r="D3" s="25"/>
      <c r="E3" s="26"/>
      <c r="G3" s="27" t="s">
        <v>47</v>
      </c>
      <c r="H3" s="27" t="s">
        <v>47</v>
      </c>
      <c r="J3" s="28"/>
      <c r="K3" s="29"/>
      <c r="L3" s="24"/>
      <c r="N3" s="31"/>
      <c r="Z3" s="65" t="s">
        <v>62</v>
      </c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  <c r="BK3" s="65"/>
      <c r="BL3" s="65"/>
      <c r="BM3" s="65"/>
      <c r="BN3" s="65"/>
      <c r="BO3" s="65"/>
      <c r="BP3" s="65"/>
      <c r="BQ3" s="65"/>
      <c r="BR3" s="65"/>
      <c r="BS3" s="65"/>
      <c r="BT3" s="65"/>
      <c r="BU3" s="65"/>
      <c r="BV3" s="65"/>
      <c r="BW3" s="65"/>
      <c r="BX3" s="65"/>
      <c r="BY3" s="65"/>
      <c r="BZ3" s="65"/>
      <c r="CA3" s="65"/>
      <c r="CB3" s="65"/>
      <c r="CC3" s="65"/>
      <c r="CD3" s="65"/>
      <c r="CE3" s="65"/>
      <c r="CF3" s="65"/>
      <c r="CG3" s="65"/>
      <c r="CH3" s="65"/>
      <c r="CI3" s="65"/>
      <c r="CJ3" s="65"/>
      <c r="CK3" s="65"/>
      <c r="CL3" s="65"/>
      <c r="CM3" s="65"/>
      <c r="CN3" s="65"/>
      <c r="CO3" s="65"/>
      <c r="CP3" s="65"/>
      <c r="CQ3" s="65"/>
      <c r="CR3" s="65"/>
      <c r="CS3" s="65"/>
    </row>
    <row r="4" spans="1:97" x14ac:dyDescent="0.9">
      <c r="A4" s="22"/>
      <c r="B4" s="23"/>
      <c r="C4" s="24"/>
      <c r="D4" s="25"/>
      <c r="E4" s="26"/>
      <c r="G4" s="66">
        <f>COUNTIF(A:A,"TEV*")</f>
        <v>0</v>
      </c>
      <c r="H4" s="66">
        <f>COUNTIF(J:J,"TEV*")</f>
        <v>0</v>
      </c>
      <c r="J4" s="28"/>
      <c r="K4" s="29"/>
      <c r="L4" s="24"/>
      <c r="N4" s="31"/>
      <c r="Z4" s="65"/>
      <c r="AA4" s="65"/>
      <c r="AB4" s="65"/>
      <c r="AC4" s="65"/>
      <c r="AD4" s="65"/>
      <c r="AE4" s="65"/>
      <c r="AF4" s="65"/>
      <c r="AG4" s="65"/>
      <c r="AH4" s="65"/>
      <c r="AI4" s="65"/>
      <c r="AJ4" s="65"/>
      <c r="AK4" s="65"/>
      <c r="AL4" s="65"/>
      <c r="AM4" s="65"/>
      <c r="AN4" s="65"/>
      <c r="AO4" s="65"/>
      <c r="AP4" s="65"/>
      <c r="AQ4" s="65"/>
      <c r="AR4" s="65"/>
      <c r="AS4" s="65"/>
      <c r="AT4" s="65"/>
      <c r="AU4" s="65"/>
      <c r="AV4" s="65"/>
      <c r="AW4" s="65"/>
      <c r="AX4" s="65"/>
      <c r="AY4" s="65"/>
      <c r="AZ4" s="65"/>
      <c r="BA4" s="65"/>
      <c r="BB4" s="65"/>
      <c r="BC4" s="65"/>
      <c r="BD4" s="65"/>
      <c r="BE4" s="65"/>
      <c r="BF4" s="65"/>
      <c r="BG4" s="65"/>
      <c r="BH4" s="65"/>
      <c r="BI4" s="65"/>
      <c r="BJ4" s="65"/>
      <c r="BK4" s="65"/>
      <c r="BL4" s="65"/>
      <c r="BM4" s="65"/>
      <c r="BN4" s="65"/>
      <c r="BO4" s="65"/>
      <c r="BP4" s="65"/>
      <c r="BQ4" s="65"/>
      <c r="BR4" s="65"/>
      <c r="BS4" s="65"/>
      <c r="BT4" s="65"/>
      <c r="BU4" s="65"/>
      <c r="BV4" s="65"/>
      <c r="BW4" s="65"/>
      <c r="BX4" s="65"/>
      <c r="BY4" s="65"/>
      <c r="BZ4" s="65"/>
      <c r="CA4" s="65"/>
      <c r="CB4" s="65"/>
      <c r="CC4" s="65"/>
      <c r="CD4" s="65"/>
      <c r="CE4" s="65"/>
      <c r="CF4" s="65"/>
      <c r="CG4" s="65"/>
      <c r="CH4" s="65"/>
      <c r="CI4" s="65"/>
      <c r="CJ4" s="65"/>
      <c r="CK4" s="65"/>
      <c r="CL4" s="65"/>
      <c r="CM4" s="65"/>
      <c r="CN4" s="65"/>
      <c r="CO4" s="65"/>
      <c r="CP4" s="65"/>
      <c r="CQ4" s="65"/>
      <c r="CR4" s="65"/>
      <c r="CS4" s="65"/>
    </row>
    <row r="5" spans="1:97" x14ac:dyDescent="0.9">
      <c r="A5" s="22"/>
      <c r="B5" s="23"/>
      <c r="C5" s="24"/>
      <c r="D5" s="25"/>
      <c r="E5" s="26"/>
      <c r="G5" s="67"/>
      <c r="H5" s="67"/>
      <c r="J5" s="28"/>
      <c r="K5" s="29"/>
      <c r="L5" s="24"/>
      <c r="N5" s="31"/>
      <c r="Z5" s="65"/>
      <c r="AA5" s="65"/>
      <c r="AB5" s="65"/>
      <c r="AC5" s="65"/>
      <c r="AD5" s="65"/>
      <c r="AE5" s="65"/>
      <c r="AF5" s="65"/>
      <c r="AG5" s="65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/>
      <c r="CC5" s="65"/>
      <c r="CD5" s="65"/>
      <c r="CE5" s="65"/>
      <c r="CF5" s="65"/>
      <c r="CG5" s="65"/>
      <c r="CH5" s="65"/>
      <c r="CI5" s="65"/>
      <c r="CJ5" s="65"/>
      <c r="CK5" s="65"/>
      <c r="CL5" s="65"/>
      <c r="CM5" s="65"/>
      <c r="CN5" s="65"/>
      <c r="CO5" s="65"/>
      <c r="CP5" s="65"/>
      <c r="CQ5" s="65"/>
      <c r="CR5" s="65"/>
      <c r="CS5" s="65"/>
    </row>
    <row r="6" spans="1:97" ht="62.25" thickBot="1" x14ac:dyDescent="0.95">
      <c r="A6" s="22"/>
      <c r="B6" s="23"/>
      <c r="C6" s="24"/>
      <c r="D6" s="25"/>
      <c r="E6" s="26"/>
      <c r="G6" s="68"/>
      <c r="H6" s="68"/>
      <c r="J6" s="28"/>
      <c r="K6" s="29"/>
      <c r="L6" s="24"/>
      <c r="N6" s="31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65"/>
      <c r="AZ6" s="65"/>
      <c r="BA6" s="65"/>
      <c r="BB6" s="65"/>
      <c r="BC6" s="65"/>
      <c r="BD6" s="65"/>
      <c r="BE6" s="65"/>
      <c r="BF6" s="65"/>
      <c r="BG6" s="65"/>
      <c r="BH6" s="65"/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65"/>
      <c r="BV6" s="65"/>
      <c r="BW6" s="65"/>
      <c r="BX6" s="65"/>
      <c r="BY6" s="65"/>
      <c r="BZ6" s="65"/>
      <c r="CA6" s="65"/>
      <c r="CB6" s="65"/>
      <c r="CC6" s="65"/>
      <c r="CD6" s="65"/>
      <c r="CE6" s="65"/>
      <c r="CF6" s="65"/>
      <c r="CG6" s="65"/>
      <c r="CH6" s="65"/>
      <c r="CI6" s="65"/>
      <c r="CJ6" s="65"/>
      <c r="CK6" s="65"/>
      <c r="CL6" s="65"/>
      <c r="CM6" s="65"/>
      <c r="CN6" s="65"/>
      <c r="CO6" s="65"/>
      <c r="CP6" s="65"/>
      <c r="CQ6" s="65"/>
      <c r="CR6" s="65"/>
      <c r="CS6" s="65"/>
    </row>
    <row r="7" spans="1:97" ht="62.25" thickBot="1" x14ac:dyDescent="0.95">
      <c r="A7" s="22"/>
      <c r="B7" s="23"/>
      <c r="C7" s="24"/>
      <c r="D7" s="25"/>
      <c r="E7" s="26"/>
      <c r="G7" s="15"/>
      <c r="H7" s="15"/>
      <c r="J7" s="28"/>
      <c r="K7" s="29"/>
      <c r="L7" s="24"/>
      <c r="N7" s="31"/>
      <c r="Z7" s="65"/>
      <c r="AA7" s="65"/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65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/>
      <c r="CC7" s="65"/>
      <c r="CD7" s="65"/>
      <c r="CE7" s="65"/>
      <c r="CF7" s="65"/>
      <c r="CG7" s="65"/>
      <c r="CH7" s="65"/>
      <c r="CI7" s="65"/>
      <c r="CJ7" s="65"/>
      <c r="CK7" s="65"/>
      <c r="CL7" s="65"/>
      <c r="CM7" s="65"/>
      <c r="CN7" s="65"/>
      <c r="CO7" s="65"/>
      <c r="CP7" s="65"/>
      <c r="CQ7" s="65"/>
      <c r="CR7" s="65"/>
      <c r="CS7" s="65"/>
    </row>
    <row r="8" spans="1:97" ht="62.25" thickBot="1" x14ac:dyDescent="0.95">
      <c r="A8" s="22"/>
      <c r="B8" s="23"/>
      <c r="C8" s="24"/>
      <c r="D8" s="25"/>
      <c r="E8" s="26"/>
      <c r="G8" s="69" t="s">
        <v>48</v>
      </c>
      <c r="H8" s="70"/>
      <c r="J8" s="28"/>
      <c r="K8" s="29"/>
      <c r="L8" s="24"/>
      <c r="N8" s="31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/>
      <c r="CC8" s="65"/>
      <c r="CD8" s="65"/>
      <c r="CE8" s="65"/>
      <c r="CF8" s="65"/>
      <c r="CG8" s="65"/>
      <c r="CH8" s="65"/>
      <c r="CI8" s="65"/>
      <c r="CJ8" s="65"/>
      <c r="CK8" s="65"/>
      <c r="CL8" s="65"/>
      <c r="CM8" s="65"/>
      <c r="CN8" s="65"/>
      <c r="CO8" s="65"/>
      <c r="CP8" s="65"/>
      <c r="CQ8" s="65"/>
      <c r="CR8" s="65"/>
      <c r="CS8" s="65"/>
    </row>
    <row r="9" spans="1:97" ht="71.25" thickBot="1" x14ac:dyDescent="0.95">
      <c r="A9" s="22"/>
      <c r="B9" s="23"/>
      <c r="C9" s="24"/>
      <c r="D9" s="25"/>
      <c r="E9" s="26"/>
      <c r="G9" s="32" t="s">
        <v>49</v>
      </c>
      <c r="H9" s="32" t="s">
        <v>50</v>
      </c>
      <c r="J9" s="28"/>
      <c r="K9" s="29"/>
      <c r="L9" s="24"/>
      <c r="N9" s="31"/>
      <c r="Z9" s="65"/>
      <c r="AA9" s="65"/>
      <c r="AB9" s="65"/>
      <c r="AC9" s="65"/>
      <c r="AD9" s="65"/>
      <c r="AE9" s="65"/>
      <c r="AF9" s="65"/>
      <c r="AG9" s="65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/>
      <c r="CC9" s="65"/>
      <c r="CD9" s="65"/>
      <c r="CE9" s="65"/>
      <c r="CF9" s="65"/>
      <c r="CG9" s="65"/>
      <c r="CH9" s="65"/>
      <c r="CI9" s="65"/>
      <c r="CJ9" s="65"/>
      <c r="CK9" s="65"/>
      <c r="CL9" s="65"/>
      <c r="CM9" s="65"/>
      <c r="CN9" s="65"/>
      <c r="CO9" s="65"/>
      <c r="CP9" s="65"/>
      <c r="CQ9" s="65"/>
      <c r="CR9" s="65"/>
      <c r="CS9" s="65"/>
    </row>
    <row r="10" spans="1:97" ht="61.15" customHeight="1" x14ac:dyDescent="0.9">
      <c r="A10" s="22"/>
      <c r="B10" s="23"/>
      <c r="C10" s="24"/>
      <c r="D10" s="25"/>
      <c r="E10" s="26"/>
      <c r="G10" s="71" t="s">
        <v>9</v>
      </c>
      <c r="H10" s="71"/>
      <c r="J10" s="28"/>
      <c r="K10" s="29"/>
      <c r="L10" s="24"/>
      <c r="N10" s="31"/>
      <c r="Z10" s="65"/>
      <c r="AA10" s="65"/>
      <c r="AB10" s="65"/>
      <c r="AC10" s="65"/>
      <c r="AD10" s="65"/>
      <c r="AE10" s="65"/>
      <c r="AF10" s="65"/>
      <c r="AG10" s="65"/>
      <c r="AH10" s="65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/>
      <c r="CC10" s="65"/>
      <c r="CD10" s="65"/>
      <c r="CE10" s="65"/>
      <c r="CF10" s="65"/>
      <c r="CG10" s="65"/>
      <c r="CH10" s="65"/>
      <c r="CI10" s="65"/>
      <c r="CJ10" s="65"/>
      <c r="CK10" s="65"/>
      <c r="CL10" s="65"/>
      <c r="CM10" s="65"/>
      <c r="CN10" s="65"/>
      <c r="CO10" s="65"/>
      <c r="CP10" s="65"/>
      <c r="CQ10" s="65"/>
      <c r="CR10" s="65"/>
      <c r="CS10" s="65"/>
    </row>
    <row r="11" spans="1:97" ht="61.15" customHeight="1" x14ac:dyDescent="0.9">
      <c r="A11" s="22"/>
      <c r="B11" s="23"/>
      <c r="C11" s="24"/>
      <c r="D11" s="25"/>
      <c r="E11" s="26"/>
      <c r="G11" s="72"/>
      <c r="H11" s="72"/>
      <c r="J11" s="28"/>
      <c r="K11" s="29"/>
      <c r="L11" s="24"/>
      <c r="N11" s="31"/>
      <c r="Z11" s="65"/>
      <c r="AA11" s="65"/>
      <c r="AB11" s="65"/>
      <c r="AC11" s="65"/>
      <c r="AD11" s="65"/>
      <c r="AE11" s="65"/>
      <c r="AF11" s="65"/>
      <c r="AG11" s="65"/>
      <c r="AH11" s="65"/>
      <c r="AI11" s="65"/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/>
      <c r="CC11" s="65"/>
      <c r="CD11" s="65"/>
      <c r="CE11" s="65"/>
      <c r="CF11" s="65"/>
      <c r="CG11" s="65"/>
      <c r="CH11" s="65"/>
      <c r="CI11" s="65"/>
      <c r="CJ11" s="65"/>
      <c r="CK11" s="65"/>
      <c r="CL11" s="65"/>
      <c r="CM11" s="65"/>
      <c r="CN11" s="65"/>
      <c r="CO11" s="65"/>
      <c r="CP11" s="65"/>
      <c r="CQ11" s="65"/>
      <c r="CR11" s="65"/>
      <c r="CS11" s="65"/>
    </row>
    <row r="12" spans="1:97" ht="61.15" customHeight="1" x14ac:dyDescent="0.9">
      <c r="A12" s="22"/>
      <c r="B12" s="23"/>
      <c r="C12" s="24"/>
      <c r="D12" s="25"/>
      <c r="E12" s="26"/>
      <c r="G12" s="72"/>
      <c r="H12" s="72"/>
      <c r="J12" s="28"/>
      <c r="K12" s="29"/>
      <c r="L12" s="24"/>
      <c r="N12" s="31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/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65"/>
      <c r="BV12" s="65"/>
      <c r="BW12" s="65"/>
      <c r="BX12" s="65"/>
      <c r="BY12" s="65"/>
      <c r="BZ12" s="65"/>
      <c r="CA12" s="65"/>
      <c r="CB12" s="65"/>
      <c r="CC12" s="65"/>
      <c r="CD12" s="65"/>
      <c r="CE12" s="65"/>
      <c r="CF12" s="65"/>
      <c r="CG12" s="65"/>
      <c r="CH12" s="65"/>
      <c r="CI12" s="65"/>
      <c r="CJ12" s="65"/>
      <c r="CK12" s="65"/>
      <c r="CL12" s="65"/>
      <c r="CM12" s="65"/>
      <c r="CN12" s="65"/>
      <c r="CO12" s="65"/>
      <c r="CP12" s="65"/>
      <c r="CQ12" s="65"/>
      <c r="CR12" s="65"/>
      <c r="CS12" s="65"/>
    </row>
    <row r="13" spans="1:97" ht="61.15" customHeight="1" x14ac:dyDescent="0.9">
      <c r="A13" s="28"/>
      <c r="B13" s="29"/>
      <c r="C13" s="33"/>
      <c r="D13" s="25"/>
      <c r="E13" s="26"/>
      <c r="G13" s="72"/>
      <c r="H13" s="72"/>
      <c r="J13" s="28"/>
      <c r="K13" s="29"/>
      <c r="L13" s="33"/>
      <c r="N13" s="31"/>
      <c r="Z13" s="65"/>
      <c r="AA13" s="65"/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/>
      <c r="AS13" s="65"/>
      <c r="AT13" s="65"/>
      <c r="AU13" s="65"/>
      <c r="AV13" s="65"/>
      <c r="AW13" s="65"/>
      <c r="AX13" s="65"/>
      <c r="AY13" s="65"/>
      <c r="AZ13" s="65"/>
      <c r="BA13" s="65"/>
      <c r="BB13" s="65"/>
      <c r="BC13" s="65"/>
      <c r="BD13" s="65"/>
      <c r="BE13" s="65"/>
      <c r="BF13" s="65"/>
      <c r="BG13" s="65"/>
      <c r="BH13" s="65"/>
      <c r="BI13" s="65"/>
      <c r="BJ13" s="65"/>
      <c r="BK13" s="65"/>
      <c r="BL13" s="65"/>
      <c r="BM13" s="65"/>
      <c r="BN13" s="65"/>
      <c r="BO13" s="65"/>
      <c r="BP13" s="65"/>
      <c r="BQ13" s="65"/>
      <c r="BR13" s="65"/>
      <c r="BS13" s="65"/>
      <c r="BT13" s="65"/>
      <c r="BU13" s="65"/>
      <c r="BV13" s="65"/>
      <c r="BW13" s="65"/>
      <c r="BX13" s="65"/>
      <c r="BY13" s="65"/>
      <c r="BZ13" s="65"/>
      <c r="CA13" s="65"/>
      <c r="CB13" s="65"/>
      <c r="CC13" s="65"/>
      <c r="CD13" s="65"/>
      <c r="CE13" s="65"/>
      <c r="CF13" s="65"/>
      <c r="CG13" s="65"/>
      <c r="CH13" s="65"/>
      <c r="CI13" s="65"/>
      <c r="CJ13" s="65"/>
      <c r="CK13" s="65"/>
      <c r="CL13" s="65"/>
      <c r="CM13" s="65"/>
      <c r="CN13" s="65"/>
      <c r="CO13" s="65"/>
      <c r="CP13" s="65"/>
      <c r="CQ13" s="65"/>
      <c r="CR13" s="65"/>
      <c r="CS13" s="65"/>
    </row>
    <row r="14" spans="1:97" ht="61.15" customHeight="1" x14ac:dyDescent="0.9">
      <c r="A14" s="28"/>
      <c r="B14" s="29"/>
      <c r="C14" s="33"/>
      <c r="D14" s="25"/>
      <c r="E14" s="26"/>
      <c r="G14" s="73"/>
      <c r="H14" s="73"/>
      <c r="J14" s="28"/>
      <c r="K14" s="29"/>
      <c r="L14" s="33"/>
      <c r="N14" s="31"/>
      <c r="Z14" s="65"/>
      <c r="AA14" s="65"/>
      <c r="AB14" s="65"/>
      <c r="AC14" s="65"/>
      <c r="AD14" s="65"/>
      <c r="AE14" s="65"/>
      <c r="AF14" s="65"/>
      <c r="AG14" s="65"/>
      <c r="AH14" s="65"/>
      <c r="AI14" s="65"/>
      <c r="AJ14" s="65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5"/>
      <c r="AV14" s="65"/>
      <c r="AW14" s="65"/>
      <c r="AX14" s="65"/>
      <c r="AY14" s="65"/>
      <c r="AZ14" s="65"/>
      <c r="BA14" s="65"/>
      <c r="BB14" s="65"/>
      <c r="BC14" s="65"/>
      <c r="BD14" s="65"/>
      <c r="BE14" s="65"/>
      <c r="BF14" s="65"/>
      <c r="BG14" s="65"/>
      <c r="BH14" s="65"/>
      <c r="BI14" s="65"/>
      <c r="BJ14" s="65"/>
      <c r="BK14" s="65"/>
      <c r="BL14" s="65"/>
      <c r="BM14" s="65"/>
      <c r="BN14" s="65"/>
      <c r="BO14" s="65"/>
      <c r="BP14" s="65"/>
      <c r="BQ14" s="65"/>
      <c r="BR14" s="65"/>
      <c r="BS14" s="65"/>
      <c r="BT14" s="65"/>
      <c r="BU14" s="65"/>
      <c r="BV14" s="65"/>
      <c r="BW14" s="65"/>
      <c r="BX14" s="65"/>
      <c r="BY14" s="65"/>
      <c r="BZ14" s="65"/>
      <c r="CA14" s="65"/>
      <c r="CB14" s="65"/>
      <c r="CC14" s="65"/>
      <c r="CD14" s="65"/>
      <c r="CE14" s="65"/>
      <c r="CF14" s="65"/>
      <c r="CG14" s="65"/>
      <c r="CH14" s="65"/>
      <c r="CI14" s="65"/>
      <c r="CJ14" s="65"/>
      <c r="CK14" s="65"/>
      <c r="CL14" s="65"/>
      <c r="CM14" s="65"/>
      <c r="CN14" s="65"/>
      <c r="CO14" s="65"/>
      <c r="CP14" s="65"/>
      <c r="CQ14" s="65"/>
      <c r="CR14" s="65"/>
      <c r="CS14" s="65"/>
    </row>
    <row r="15" spans="1:97" ht="62.25" thickBot="1" x14ac:dyDescent="0.95">
      <c r="A15" s="28"/>
      <c r="B15" s="29"/>
      <c r="C15" s="33"/>
      <c r="D15" s="25"/>
      <c r="E15" s="26"/>
      <c r="G15" s="34"/>
      <c r="H15" s="34"/>
      <c r="J15" s="28"/>
      <c r="K15" s="29"/>
      <c r="L15" s="33"/>
      <c r="N15" s="31"/>
      <c r="Z15" s="65"/>
      <c r="AA15" s="65"/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/>
      <c r="AS15" s="65"/>
      <c r="AT15" s="65"/>
      <c r="AU15" s="65"/>
      <c r="AV15" s="65"/>
      <c r="AW15" s="65"/>
      <c r="AX15" s="65"/>
      <c r="AY15" s="65"/>
      <c r="AZ15" s="65"/>
      <c r="BA15" s="65"/>
      <c r="BB15" s="65"/>
      <c r="BC15" s="65"/>
      <c r="BD15" s="65"/>
      <c r="BE15" s="65"/>
      <c r="BF15" s="65"/>
      <c r="BG15" s="65"/>
      <c r="BH15" s="65"/>
      <c r="BI15" s="65"/>
      <c r="BJ15" s="65"/>
      <c r="BK15" s="65"/>
      <c r="BL15" s="65"/>
      <c r="BM15" s="65"/>
      <c r="BN15" s="65"/>
      <c r="BO15" s="65"/>
      <c r="BP15" s="65"/>
      <c r="BQ15" s="65"/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/>
      <c r="CC15" s="65"/>
      <c r="CD15" s="65"/>
      <c r="CE15" s="65"/>
      <c r="CF15" s="65"/>
      <c r="CG15" s="65"/>
      <c r="CH15" s="65"/>
      <c r="CI15" s="65"/>
      <c r="CJ15" s="65"/>
      <c r="CK15" s="65"/>
      <c r="CL15" s="65"/>
      <c r="CM15" s="65"/>
      <c r="CN15" s="65"/>
      <c r="CO15" s="65"/>
      <c r="CP15" s="65"/>
      <c r="CQ15" s="65"/>
      <c r="CR15" s="65"/>
      <c r="CS15" s="65"/>
    </row>
    <row r="16" spans="1:97" ht="71.25" thickBot="1" x14ac:dyDescent="0.95">
      <c r="A16" s="28"/>
      <c r="B16" s="29"/>
      <c r="C16" s="33"/>
      <c r="D16" s="25"/>
      <c r="E16" s="26"/>
      <c r="G16" s="74" t="s">
        <v>11</v>
      </c>
      <c r="H16" s="75"/>
      <c r="J16" s="28"/>
      <c r="K16" s="29"/>
      <c r="L16" s="33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/>
      <c r="BE16" s="65"/>
      <c r="BF16" s="65"/>
      <c r="BG16" s="65"/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/>
      <c r="CC16" s="65"/>
      <c r="CD16" s="65"/>
      <c r="CE16" s="65"/>
      <c r="CF16" s="65"/>
      <c r="CG16" s="65"/>
      <c r="CH16" s="65"/>
      <c r="CI16" s="65"/>
      <c r="CJ16" s="65"/>
      <c r="CK16" s="65"/>
      <c r="CL16" s="65"/>
      <c r="CM16" s="65"/>
      <c r="CN16" s="65"/>
      <c r="CO16" s="65"/>
      <c r="CP16" s="65"/>
      <c r="CQ16" s="65"/>
      <c r="CR16" s="65"/>
      <c r="CS16" s="65"/>
    </row>
    <row r="17" spans="4:97" x14ac:dyDescent="0.9">
      <c r="D17" s="25"/>
      <c r="E17" s="26"/>
      <c r="G17" s="36"/>
      <c r="H17" s="37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/>
      <c r="BW17" s="65"/>
      <c r="BX17" s="65"/>
      <c r="BY17" s="65"/>
      <c r="BZ17" s="65"/>
      <c r="CA17" s="65"/>
      <c r="CB17" s="65"/>
      <c r="CC17" s="65"/>
      <c r="CD17" s="65"/>
      <c r="CE17" s="65"/>
      <c r="CF17" s="65"/>
      <c r="CG17" s="65"/>
      <c r="CH17" s="65"/>
      <c r="CI17" s="65"/>
      <c r="CJ17" s="65"/>
      <c r="CK17" s="65"/>
      <c r="CL17" s="65"/>
      <c r="CM17" s="65"/>
      <c r="CN17" s="65"/>
      <c r="CO17" s="65"/>
      <c r="CP17" s="65"/>
      <c r="CQ17" s="65"/>
      <c r="CR17" s="65"/>
      <c r="CS17" s="65"/>
    </row>
    <row r="18" spans="4:97" x14ac:dyDescent="0.9">
      <c r="D18" s="25"/>
      <c r="E18" s="26"/>
      <c r="G18" s="38"/>
      <c r="H18" s="39"/>
      <c r="Z18" s="65"/>
      <c r="AA18" s="65"/>
      <c r="AB18" s="65"/>
      <c r="AC18" s="65"/>
      <c r="AD18" s="65"/>
      <c r="AE18" s="65"/>
      <c r="AF18" s="65"/>
      <c r="AG18" s="65"/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/>
      <c r="CC18" s="65"/>
      <c r="CD18" s="65"/>
      <c r="CE18" s="65"/>
      <c r="CF18" s="65"/>
      <c r="CG18" s="65"/>
      <c r="CH18" s="65"/>
      <c r="CI18" s="65"/>
      <c r="CJ18" s="65"/>
      <c r="CK18" s="65"/>
      <c r="CL18" s="65"/>
      <c r="CM18" s="65"/>
      <c r="CN18" s="65"/>
      <c r="CO18" s="65"/>
      <c r="CP18" s="65"/>
      <c r="CQ18" s="65"/>
      <c r="CR18" s="65"/>
      <c r="CS18" s="65"/>
    </row>
    <row r="19" spans="4:97" x14ac:dyDescent="0.9">
      <c r="D19" s="25"/>
      <c r="E19" s="26"/>
      <c r="G19" s="38"/>
      <c r="H19" s="39"/>
      <c r="Z19" s="65"/>
      <c r="AA19" s="65"/>
      <c r="AB19" s="65"/>
      <c r="AC19" s="65"/>
      <c r="AD19" s="65"/>
      <c r="AE19" s="65"/>
      <c r="AF19" s="65"/>
      <c r="AG19" s="65"/>
      <c r="AH19" s="65"/>
      <c r="AI19" s="65"/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/>
      <c r="CC19" s="65"/>
      <c r="CD19" s="65"/>
      <c r="CE19" s="65"/>
      <c r="CF19" s="65"/>
      <c r="CG19" s="65"/>
      <c r="CH19" s="65"/>
      <c r="CI19" s="65"/>
      <c r="CJ19" s="65"/>
      <c r="CK19" s="65"/>
      <c r="CL19" s="65"/>
      <c r="CM19" s="65"/>
      <c r="CN19" s="65"/>
      <c r="CO19" s="65"/>
      <c r="CP19" s="65"/>
      <c r="CQ19" s="65"/>
      <c r="CR19" s="65"/>
      <c r="CS19" s="65"/>
    </row>
    <row r="20" spans="4:97" ht="62.25" thickBot="1" x14ac:dyDescent="0.95">
      <c r="D20" s="25"/>
      <c r="E20" s="26"/>
      <c r="G20" s="40"/>
      <c r="H20" s="41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Y20" s="65"/>
      <c r="AZ20" s="65"/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O20" s="65"/>
      <c r="BP20" s="65"/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E20" s="65"/>
      <c r="CF20" s="65"/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</row>
    <row r="21" spans="4:97" ht="62.25" thickBot="1" x14ac:dyDescent="0.95">
      <c r="D21" s="25"/>
      <c r="E21" s="26"/>
      <c r="G21" s="42"/>
      <c r="H21" s="43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/>
      <c r="AS21" s="65"/>
      <c r="AT21" s="65"/>
      <c r="AU21" s="65"/>
      <c r="AV21" s="65"/>
      <c r="AW21" s="65"/>
      <c r="AX21" s="65"/>
      <c r="AY21" s="65"/>
      <c r="AZ21" s="65"/>
      <c r="BA21" s="65"/>
      <c r="BB21" s="65"/>
      <c r="BC21" s="65"/>
      <c r="BD21" s="65"/>
      <c r="BE21" s="65"/>
      <c r="BF21" s="65"/>
      <c r="BG21" s="65"/>
      <c r="BH21" s="65"/>
      <c r="BI21" s="65"/>
      <c r="BJ21" s="65"/>
      <c r="BK21" s="65"/>
      <c r="BL21" s="65"/>
      <c r="BM21" s="65"/>
      <c r="BN21" s="65"/>
      <c r="BO21" s="65"/>
      <c r="BP21" s="65"/>
      <c r="BQ21" s="65"/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/>
      <c r="CC21" s="65"/>
      <c r="CD21" s="65"/>
      <c r="CE21" s="65"/>
      <c r="CF21" s="65"/>
      <c r="CG21" s="65"/>
      <c r="CH21" s="65"/>
      <c r="CI21" s="65"/>
      <c r="CJ21" s="65"/>
      <c r="CK21" s="65"/>
      <c r="CL21" s="65"/>
      <c r="CM21" s="65"/>
      <c r="CN21" s="65"/>
      <c r="CO21" s="65"/>
      <c r="CP21" s="65"/>
      <c r="CQ21" s="65"/>
      <c r="CR21" s="65"/>
      <c r="CS21" s="65"/>
    </row>
    <row r="22" spans="4:97" ht="63.75" x14ac:dyDescent="0.9">
      <c r="D22" s="25"/>
      <c r="E22" s="26"/>
      <c r="G22" s="44"/>
      <c r="H22" s="4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/>
      <c r="CC22" s="65"/>
      <c r="CD22" s="65"/>
      <c r="CE22" s="65"/>
      <c r="CF22" s="65"/>
      <c r="CG22" s="65"/>
      <c r="CH22" s="65"/>
      <c r="CI22" s="65"/>
      <c r="CJ22" s="65"/>
      <c r="CK22" s="65"/>
      <c r="CL22" s="65"/>
      <c r="CM22" s="65"/>
      <c r="CN22" s="65"/>
      <c r="CO22" s="65"/>
      <c r="CP22" s="65"/>
      <c r="CQ22" s="65"/>
      <c r="CR22" s="65"/>
      <c r="CS22" s="65"/>
    </row>
    <row r="23" spans="4:97" ht="61.15" customHeight="1" x14ac:dyDescent="0.9">
      <c r="D23" s="25"/>
      <c r="E23" s="26"/>
      <c r="G23" s="44"/>
      <c r="H23" s="46"/>
      <c r="Z23" s="65"/>
      <c r="AA23" s="65"/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65"/>
      <c r="BF23" s="65"/>
      <c r="BG23" s="65"/>
      <c r="BH23" s="65"/>
      <c r="BI23" s="65"/>
      <c r="BJ23" s="65"/>
      <c r="BK23" s="65"/>
      <c r="BL23" s="65"/>
      <c r="BM23" s="65"/>
      <c r="BN23" s="65"/>
      <c r="BO23" s="65"/>
      <c r="BP23" s="65"/>
      <c r="BQ23" s="65"/>
      <c r="BR23" s="65"/>
      <c r="BS23" s="65"/>
      <c r="BT23" s="65"/>
      <c r="BU23" s="65"/>
      <c r="BV23" s="65"/>
      <c r="BW23" s="65"/>
      <c r="BX23" s="65"/>
      <c r="BY23" s="65"/>
      <c r="BZ23" s="65"/>
      <c r="CA23" s="65"/>
      <c r="CB23" s="65"/>
      <c r="CC23" s="65"/>
      <c r="CD23" s="65"/>
      <c r="CE23" s="65"/>
      <c r="CF23" s="65"/>
      <c r="CG23" s="65"/>
      <c r="CH23" s="65"/>
      <c r="CI23" s="65"/>
      <c r="CJ23" s="65"/>
      <c r="CK23" s="65"/>
      <c r="CL23" s="65"/>
      <c r="CM23" s="65"/>
      <c r="CN23" s="65"/>
      <c r="CO23" s="65"/>
      <c r="CP23" s="65"/>
      <c r="CQ23" s="65"/>
      <c r="CR23" s="65"/>
      <c r="CS23" s="65"/>
    </row>
    <row r="24" spans="4:97" ht="61.9" customHeight="1" thickBot="1" x14ac:dyDescent="0.95">
      <c r="D24" s="25"/>
      <c r="E24" s="26"/>
      <c r="G24" s="15"/>
      <c r="H24" s="15"/>
      <c r="Z24" s="65"/>
      <c r="AA24" s="65"/>
      <c r="AB24" s="65"/>
      <c r="AC24" s="65"/>
      <c r="AD24" s="65"/>
      <c r="AE24" s="65"/>
      <c r="AF24" s="65"/>
      <c r="AG24" s="65"/>
      <c r="AH24" s="65"/>
      <c r="AI24" s="65"/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/>
      <c r="CC24" s="65"/>
      <c r="CD24" s="65"/>
      <c r="CE24" s="65"/>
      <c r="CF24" s="65"/>
      <c r="CG24" s="65"/>
      <c r="CH24" s="65"/>
      <c r="CI24" s="65"/>
      <c r="CJ24" s="65"/>
      <c r="CK24" s="65"/>
      <c r="CL24" s="65"/>
      <c r="CM24" s="65"/>
      <c r="CN24" s="65"/>
      <c r="CO24" s="65"/>
      <c r="CP24" s="65"/>
      <c r="CQ24" s="65"/>
      <c r="CR24" s="65"/>
      <c r="CS24" s="65"/>
    </row>
    <row r="25" spans="4:97" x14ac:dyDescent="0.9">
      <c r="D25" s="25"/>
      <c r="E25" s="26"/>
      <c r="G25" s="47"/>
      <c r="H25" s="48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65"/>
      <c r="AK25" s="65"/>
      <c r="AL25" s="65"/>
      <c r="AM25" s="65"/>
      <c r="AN25" s="65"/>
      <c r="AO25" s="65"/>
      <c r="AP25" s="65"/>
      <c r="AQ25" s="65"/>
      <c r="AR25" s="65"/>
      <c r="AS25" s="65"/>
      <c r="AT25" s="65"/>
      <c r="AU25" s="65"/>
      <c r="AV25" s="65"/>
      <c r="AW25" s="65"/>
      <c r="AX25" s="65"/>
      <c r="AY25" s="65"/>
      <c r="AZ25" s="65"/>
      <c r="BA25" s="65"/>
      <c r="BB25" s="65"/>
      <c r="BC25" s="65"/>
      <c r="BD25" s="65"/>
      <c r="BE25" s="65"/>
      <c r="BF25" s="65"/>
      <c r="BG25" s="65"/>
      <c r="BH25" s="65"/>
      <c r="BI25" s="65"/>
      <c r="BJ25" s="65"/>
      <c r="BK25" s="65"/>
      <c r="BL25" s="65"/>
      <c r="BM25" s="65"/>
      <c r="BN25" s="65"/>
      <c r="BO25" s="65"/>
      <c r="BP25" s="65"/>
      <c r="BQ25" s="65"/>
      <c r="BR25" s="65"/>
      <c r="BS25" s="65"/>
      <c r="BT25" s="65"/>
      <c r="BU25" s="65"/>
      <c r="BV25" s="65"/>
      <c r="BW25" s="65"/>
      <c r="BX25" s="65"/>
      <c r="BY25" s="65"/>
      <c r="BZ25" s="65"/>
      <c r="CA25" s="65"/>
      <c r="CB25" s="65"/>
      <c r="CC25" s="65"/>
      <c r="CD25" s="65"/>
      <c r="CE25" s="65"/>
      <c r="CF25" s="65"/>
      <c r="CG25" s="65"/>
      <c r="CH25" s="65"/>
      <c r="CI25" s="65"/>
      <c r="CJ25" s="65"/>
      <c r="CK25" s="65"/>
      <c r="CL25" s="65"/>
      <c r="CM25" s="65"/>
      <c r="CN25" s="65"/>
      <c r="CO25" s="65"/>
      <c r="CP25" s="65"/>
      <c r="CQ25" s="65"/>
      <c r="CR25" s="65"/>
      <c r="CS25" s="65"/>
    </row>
    <row r="26" spans="4:97" ht="64.5" x14ac:dyDescent="0.95">
      <c r="D26" s="25"/>
      <c r="E26" s="26"/>
      <c r="G26" s="49"/>
      <c r="H26" s="50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/>
      <c r="AK26" s="65"/>
      <c r="AL26" s="65"/>
      <c r="AM26" s="65"/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/>
      <c r="CC26" s="65"/>
      <c r="CD26" s="65"/>
      <c r="CE26" s="65"/>
      <c r="CF26" s="65"/>
      <c r="CG26" s="65"/>
      <c r="CH26" s="65"/>
      <c r="CI26" s="65"/>
      <c r="CJ26" s="65"/>
      <c r="CK26" s="65"/>
      <c r="CL26" s="65"/>
      <c r="CM26" s="65"/>
      <c r="CN26" s="65"/>
      <c r="CO26" s="65"/>
      <c r="CP26" s="65"/>
      <c r="CQ26" s="65"/>
      <c r="CR26" s="65"/>
      <c r="CS26" s="65"/>
    </row>
    <row r="27" spans="4:97" ht="64.5" x14ac:dyDescent="0.95">
      <c r="D27" s="25"/>
      <c r="E27" s="26"/>
      <c r="G27" s="51"/>
      <c r="H27" s="52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/>
      <c r="AW27" s="65"/>
      <c r="AX27" s="65"/>
      <c r="AY27" s="65"/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/>
      <c r="CC27" s="65"/>
      <c r="CD27" s="65"/>
      <c r="CE27" s="65"/>
      <c r="CF27" s="65"/>
      <c r="CG27" s="65"/>
      <c r="CH27" s="65"/>
      <c r="CI27" s="65"/>
      <c r="CJ27" s="65"/>
      <c r="CK27" s="65"/>
      <c r="CL27" s="65"/>
      <c r="CM27" s="65"/>
      <c r="CN27" s="65"/>
      <c r="CO27" s="65"/>
      <c r="CP27" s="65"/>
      <c r="CQ27" s="65"/>
      <c r="CR27" s="65"/>
      <c r="CS27" s="65"/>
    </row>
    <row r="28" spans="4:97" ht="64.5" x14ac:dyDescent="0.95">
      <c r="D28" s="25"/>
      <c r="E28" s="26"/>
      <c r="G28" s="51"/>
      <c r="H28" s="52"/>
      <c r="Z28" s="65"/>
      <c r="AA28" s="65"/>
      <c r="AB28" s="65"/>
      <c r="AC28" s="65"/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/>
      <c r="AW28" s="65"/>
      <c r="AX28" s="65"/>
      <c r="AY28" s="65"/>
      <c r="AZ28" s="65"/>
      <c r="BA28" s="65"/>
      <c r="BB28" s="65"/>
      <c r="BC28" s="65"/>
      <c r="BD28" s="65"/>
      <c r="BE28" s="65"/>
      <c r="BF28" s="65"/>
      <c r="BG28" s="65"/>
      <c r="BH28" s="65"/>
      <c r="BI28" s="65"/>
      <c r="BJ28" s="65"/>
      <c r="BK28" s="65"/>
      <c r="BL28" s="65"/>
      <c r="BM28" s="65"/>
      <c r="BN28" s="65"/>
      <c r="BO28" s="65"/>
      <c r="BP28" s="65"/>
      <c r="BQ28" s="65"/>
      <c r="BR28" s="65"/>
      <c r="BS28" s="65"/>
      <c r="BT28" s="65"/>
      <c r="BU28" s="65"/>
      <c r="BV28" s="65"/>
      <c r="BW28" s="65"/>
      <c r="BX28" s="65"/>
      <c r="BY28" s="65"/>
      <c r="BZ28" s="65"/>
      <c r="CA28" s="65"/>
      <c r="CB28" s="65"/>
      <c r="CC28" s="65"/>
      <c r="CD28" s="65"/>
      <c r="CE28" s="65"/>
      <c r="CF28" s="65"/>
      <c r="CG28" s="65"/>
      <c r="CH28" s="65"/>
      <c r="CI28" s="65"/>
      <c r="CJ28" s="65"/>
      <c r="CK28" s="65"/>
      <c r="CL28" s="65"/>
      <c r="CM28" s="65"/>
      <c r="CN28" s="65"/>
      <c r="CO28" s="65"/>
      <c r="CP28" s="65"/>
      <c r="CQ28" s="65"/>
      <c r="CR28" s="65"/>
      <c r="CS28" s="65"/>
    </row>
    <row r="29" spans="4:97" ht="64.5" x14ac:dyDescent="0.95">
      <c r="D29" s="25"/>
      <c r="E29" s="26"/>
      <c r="G29" s="51"/>
      <c r="H29" s="52"/>
    </row>
    <row r="30" spans="4:97" ht="62.25" thickBot="1" x14ac:dyDescent="0.95">
      <c r="D30" s="25"/>
      <c r="E30" s="26"/>
      <c r="G30" s="15"/>
      <c r="H30" s="15"/>
    </row>
    <row r="31" spans="4:97" x14ac:dyDescent="0.9">
      <c r="D31" s="25"/>
      <c r="E31" s="26"/>
      <c r="G31" s="76" t="s">
        <v>51</v>
      </c>
      <c r="H31" s="77"/>
    </row>
    <row r="32" spans="4:97" ht="62.25" thickBot="1" x14ac:dyDescent="0.95">
      <c r="D32" s="25"/>
      <c r="E32" s="26"/>
      <c r="G32" s="78"/>
      <c r="H32" s="79"/>
    </row>
    <row r="33" spans="4:8" x14ac:dyDescent="0.9">
      <c r="D33" s="25"/>
      <c r="E33" s="26"/>
      <c r="G33" s="80"/>
      <c r="H33" s="81"/>
    </row>
    <row r="34" spans="4:8" x14ac:dyDescent="0.9">
      <c r="D34" s="25"/>
      <c r="E34" s="26"/>
      <c r="G34" s="82"/>
      <c r="H34" s="83"/>
    </row>
    <row r="35" spans="4:8" x14ac:dyDescent="0.9">
      <c r="D35" s="25"/>
      <c r="E35" s="26"/>
      <c r="G35" s="82"/>
      <c r="H35" s="83"/>
    </row>
    <row r="36" spans="4:8" x14ac:dyDescent="0.9">
      <c r="D36" s="25"/>
      <c r="E36" s="26"/>
      <c r="G36" s="82"/>
      <c r="H36" s="83"/>
    </row>
    <row r="37" spans="4:8" x14ac:dyDescent="0.9">
      <c r="D37" s="25"/>
      <c r="E37" s="26"/>
      <c r="G37" s="82"/>
      <c r="H37" s="83"/>
    </row>
    <row r="38" spans="4:8" x14ac:dyDescent="0.9">
      <c r="D38" s="25"/>
      <c r="E38" s="26"/>
      <c r="G38" s="82"/>
      <c r="H38" s="83"/>
    </row>
    <row r="39" spans="4:8" ht="62.25" thickBot="1" x14ac:dyDescent="0.95">
      <c r="D39" s="25"/>
      <c r="E39" s="26"/>
      <c r="G39" s="84"/>
      <c r="H39" s="85"/>
    </row>
    <row r="40" spans="4:8" x14ac:dyDescent="0.9">
      <c r="D40" s="25"/>
      <c r="E40" s="26"/>
      <c r="G40" s="15"/>
      <c r="H40" s="15"/>
    </row>
    <row r="41" spans="4:8" ht="62.25" thickBot="1" x14ac:dyDescent="0.95">
      <c r="D41" s="25"/>
      <c r="E41" s="26"/>
      <c r="G41" s="15"/>
      <c r="H41" s="15"/>
    </row>
    <row r="42" spans="4:8" x14ac:dyDescent="0.9">
      <c r="D42" s="25"/>
      <c r="E42" s="26"/>
      <c r="G42" s="76" t="s">
        <v>52</v>
      </c>
      <c r="H42" s="77"/>
    </row>
    <row r="43" spans="4:8" ht="84.6" customHeight="1" thickBot="1" x14ac:dyDescent="0.95">
      <c r="D43" s="25"/>
      <c r="E43" s="26"/>
      <c r="G43" s="78"/>
      <c r="H43" s="79"/>
    </row>
    <row r="44" spans="4:8" x14ac:dyDescent="0.9">
      <c r="D44" s="25"/>
      <c r="E44" s="26"/>
      <c r="G44" s="80"/>
      <c r="H44" s="81"/>
    </row>
    <row r="45" spans="4:8" x14ac:dyDescent="0.9">
      <c r="D45" s="25"/>
      <c r="E45" s="26"/>
      <c r="G45" s="82"/>
      <c r="H45" s="83"/>
    </row>
    <row r="46" spans="4:8" x14ac:dyDescent="0.9">
      <c r="E46" s="31"/>
      <c r="G46" s="82"/>
      <c r="H46" s="83"/>
    </row>
    <row r="47" spans="4:8" x14ac:dyDescent="0.9">
      <c r="G47" s="82"/>
      <c r="H47" s="83"/>
    </row>
    <row r="48" spans="4:8" x14ac:dyDescent="0.9">
      <c r="G48" s="82"/>
      <c r="H48" s="83"/>
    </row>
    <row r="49" spans="7:8" x14ac:dyDescent="0.9">
      <c r="G49" s="82"/>
      <c r="H49" s="83"/>
    </row>
    <row r="50" spans="7:8" ht="62.25" thickBot="1" x14ac:dyDescent="0.95">
      <c r="G50" s="84"/>
      <c r="H50" s="85"/>
    </row>
    <row r="52" spans="7:8" ht="62.25" thickBot="1" x14ac:dyDescent="0.95"/>
    <row r="53" spans="7:8" ht="90" thickBot="1" x14ac:dyDescent="1.35">
      <c r="G53" s="86" t="s">
        <v>53</v>
      </c>
      <c r="H53" s="87"/>
    </row>
    <row r="54" spans="7:8" ht="94.5" thickBot="1" x14ac:dyDescent="0.95">
      <c r="G54" s="54" t="s">
        <v>54</v>
      </c>
      <c r="H54" s="54" t="s">
        <v>55</v>
      </c>
    </row>
    <row r="55" spans="7:8" ht="225" customHeight="1" x14ac:dyDescent="0.9">
      <c r="G55" s="55"/>
      <c r="H55" s="56"/>
    </row>
  </sheetData>
  <mergeCells count="16">
    <mergeCell ref="G42:H43"/>
    <mergeCell ref="G44:H50"/>
    <mergeCell ref="G53:H53"/>
    <mergeCell ref="Z3:CS28"/>
    <mergeCell ref="G8:H8"/>
    <mergeCell ref="G10:G14"/>
    <mergeCell ref="H10:H14"/>
    <mergeCell ref="G16:H16"/>
    <mergeCell ref="G31:H32"/>
    <mergeCell ref="G33:H39"/>
    <mergeCell ref="A1:E1"/>
    <mergeCell ref="G1:H1"/>
    <mergeCell ref="J1:N1"/>
    <mergeCell ref="G2:H2"/>
    <mergeCell ref="G4:G6"/>
    <mergeCell ref="H4:H6"/>
  </mergeCells>
  <conditionalFormatting sqref="B17:B1048576 K17:K1048576">
    <cfRule type="containsText" dxfId="13" priority="14" operator="containsText" text="Descripción no encontrada">
      <formula>NOT(ISERROR(SEARCH("Descripción no encontrada",B17)))</formula>
    </cfRule>
  </conditionalFormatting>
  <conditionalFormatting sqref="C17:C1048576 L17:L1048576">
    <cfRule type="containsText" dxfId="12" priority="12" operator="containsText" text="Duplicado en">
      <formula>NOT(ISERROR(SEARCH("Duplicado en",C17)))</formula>
    </cfRule>
    <cfRule type="containsText" dxfId="11" priority="13" operator="containsText" text="Válido">
      <formula>NOT(ISERROR(SEARCH("Válido",C17)))</formula>
    </cfRule>
  </conditionalFormatting>
  <conditionalFormatting sqref="H22:H23">
    <cfRule type="endsWith" dxfId="10" priority="11" operator="endsWith" text="APROBADO">
      <formula>RIGHT(H22,LEN("APROBADO"))="APROBADO"</formula>
    </cfRule>
  </conditionalFormatting>
  <conditionalFormatting sqref="C1:C1048576">
    <cfRule type="containsText" dxfId="9" priority="6" operator="containsText" text="Formato incorrecto">
      <formula>NOT(ISERROR(SEARCH("Formato incorrecto",C1)))</formula>
    </cfRule>
    <cfRule type="containsText" dxfId="8" priority="7" operator="containsText" text="Duplicado en">
      <formula>NOT(ISERROR(SEARCH("Duplicado en",C1)))</formula>
    </cfRule>
    <cfRule type="containsText" dxfId="7" priority="8" operator="containsText" text="No encontrado en">
      <formula>NOT(ISERROR(SEARCH("No encontrado en",C1)))</formula>
    </cfRule>
    <cfRule type="containsText" dxfId="6" priority="9" operator="containsText" text="RECHAZADO">
      <formula>NOT(ISERROR(SEARCH("RECHAZADO",C1)))</formula>
    </cfRule>
    <cfRule type="containsText" dxfId="5" priority="10" operator="containsText" text="APROBADO en ambos análisis">
      <formula>NOT(ISERROR(SEARCH("APROBADO en ambos análisis",C1)))</formula>
    </cfRule>
  </conditionalFormatting>
  <conditionalFormatting sqref="L3:L1048576">
    <cfRule type="containsText" dxfId="4" priority="1" operator="containsText" text="Formato incorrecto">
      <formula>NOT(ISERROR(SEARCH("Formato incorrecto",L3)))</formula>
    </cfRule>
    <cfRule type="containsText" dxfId="3" priority="2" operator="containsText" text="Duplicado en">
      <formula>NOT(ISERROR(SEARCH("Duplicado en",L3)))</formula>
    </cfRule>
    <cfRule type="containsText" dxfId="2" priority="3" operator="containsText" text="No encontrado en">
      <formula>NOT(ISERROR(SEARCH("No encontrado en",L3)))</formula>
    </cfRule>
    <cfRule type="containsText" dxfId="1" priority="4" operator="containsText" text="RECHAZADO">
      <formula>NOT(ISERROR(SEARCH("RECHAZADO",L3)))</formula>
    </cfRule>
    <cfRule type="containsText" dxfId="0" priority="5" operator="containsText" text="APROBADO en ambos análisis">
      <formula>NOT(ISERROR(SEARCH("APROBADO en ambos análisis",L3)))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6369" r:id="rId3" name="Button 1">
              <controlPr locked="0" defaultSize="0" print="0" autoFill="0" autoPict="0" macro="[0]!ConfirmacionProduccion_Click">
                <anchor moveWithCells="1" sizeWithCells="1">
                  <from>
                    <xdr:col>6</xdr:col>
                    <xdr:colOff>3028950</xdr:colOff>
                    <xdr:row>9</xdr:row>
                    <xdr:rowOff>209550</xdr:rowOff>
                  </from>
                  <to>
                    <xdr:col>6</xdr:col>
                    <xdr:colOff>12915900</xdr:colOff>
                    <xdr:row>13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0" r:id="rId4" name="Button 2">
              <controlPr defaultSize="0" print="0" autoFill="0" autoPict="0" macro="[0]!ConfirmacionCalidad_Click">
                <anchor moveWithCells="1" sizeWithCells="1">
                  <from>
                    <xdr:col>7</xdr:col>
                    <xdr:colOff>3514725</xdr:colOff>
                    <xdr:row>9</xdr:row>
                    <xdr:rowOff>171450</xdr:rowOff>
                  </from>
                  <to>
                    <xdr:col>7</xdr:col>
                    <xdr:colOff>13363575</xdr:colOff>
                    <xdr:row>13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1" r:id="rId5" name="Button 3">
              <controlPr defaultSize="0" print="0" autoFill="0" autoPict="0" macro="[0]!DesbloquearHoja">
                <anchor moveWithCells="1" sizeWithCells="1">
                  <from>
                    <xdr:col>6</xdr:col>
                    <xdr:colOff>4229100</xdr:colOff>
                    <xdr:row>16</xdr:row>
                    <xdr:rowOff>114300</xdr:rowOff>
                  </from>
                  <to>
                    <xdr:col>7</xdr:col>
                    <xdr:colOff>13030200</xdr:colOff>
                    <xdr:row>19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2" r:id="rId6" name="Button 4">
              <controlPr defaultSize="0" print="0" autoFill="0" autoPict="0" macro="[0]!CerrarLote">
                <anchor moveWithCells="1" sizeWithCells="1">
                  <from>
                    <xdr:col>6</xdr:col>
                    <xdr:colOff>6391275</xdr:colOff>
                    <xdr:row>32</xdr:row>
                    <xdr:rowOff>342900</xdr:rowOff>
                  </from>
                  <to>
                    <xdr:col>7</xdr:col>
                    <xdr:colOff>11563350</xdr:colOff>
                    <xdr:row>38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3" r:id="rId7" name="Button 5">
              <controlPr defaultSize="0" print="0" autoFill="0" autoPict="0" macro="[0]!ConfirmarLoteEmpaque">
                <anchor moveWithCells="1" sizeWithCells="1">
                  <from>
                    <xdr:col>6</xdr:col>
                    <xdr:colOff>6391275</xdr:colOff>
                    <xdr:row>43</xdr:row>
                    <xdr:rowOff>342900</xdr:rowOff>
                  </from>
                  <to>
                    <xdr:col>7</xdr:col>
                    <xdr:colOff>11563350</xdr:colOff>
                    <xdr:row>49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4" r:id="rId8" name="Button 6">
              <controlPr defaultSize="0" print="0" autoFill="0" autoPict="0" macro="[0]!EliminarLote">
                <anchor moveWithCells="1" sizeWithCells="1">
                  <from>
                    <xdr:col>7</xdr:col>
                    <xdr:colOff>11649075</xdr:colOff>
                    <xdr:row>50</xdr:row>
                    <xdr:rowOff>171450</xdr:rowOff>
                  </from>
                  <to>
                    <xdr:col>7</xdr:col>
                    <xdr:colOff>17087850</xdr:colOff>
                    <xdr:row>51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75" r:id="rId9" name="Button 7">
              <controlPr defaultSize="0" print="0" autoFill="0" autoPict="0" macro="[0]!DesbloquearLote">
                <anchor moveWithCells="1" sizeWithCells="1">
                  <from>
                    <xdr:col>6</xdr:col>
                    <xdr:colOff>57150</xdr:colOff>
                    <xdr:row>50</xdr:row>
                    <xdr:rowOff>323850</xdr:rowOff>
                  </from>
                  <to>
                    <xdr:col>6</xdr:col>
                    <xdr:colOff>6429375</xdr:colOff>
                    <xdr:row>51</xdr:row>
                    <xdr:rowOff>714375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FB357-3883-4F69-8F71-368A31CEA3DE}">
  <sheetPr codeName="Sheet4"/>
  <dimension ref="A1:R118"/>
  <sheetViews>
    <sheetView zoomScale="98" zoomScaleNormal="98" workbookViewId="0">
      <pane ySplit="1" topLeftCell="A2" activePane="bottomLeft" state="frozen"/>
      <selection pane="bottomLeft" activeCell="E18" sqref="E18"/>
    </sheetView>
  </sheetViews>
  <sheetFormatPr defaultColWidth="9.140625" defaultRowHeight="15" x14ac:dyDescent="0.25"/>
  <cols>
    <col min="1" max="1" width="16.140625" bestFit="1" customWidth="1"/>
    <col min="2" max="2" width="18.5703125" bestFit="1" customWidth="1"/>
    <col min="3" max="3" width="9.140625" bestFit="1" customWidth="1"/>
    <col min="4" max="4" width="14.5703125" bestFit="1" customWidth="1"/>
    <col min="5" max="5" width="15.140625" bestFit="1" customWidth="1"/>
  </cols>
  <sheetData>
    <row r="1" spans="1:18" x14ac:dyDescent="0.25">
      <c r="A1" s="13" t="s">
        <v>12</v>
      </c>
      <c r="B1" s="13" t="s">
        <v>15</v>
      </c>
      <c r="C1" s="13" t="s">
        <v>16</v>
      </c>
      <c r="D1" s="13" t="s">
        <v>17</v>
      </c>
      <c r="E1" s="12"/>
    </row>
    <row r="2" spans="1:18" x14ac:dyDescent="0.25">
      <c r="A2">
        <v>250400001</v>
      </c>
      <c r="B2" s="10">
        <v>45813.598460648151</v>
      </c>
      <c r="C2" s="11">
        <v>2.0390000000000001</v>
      </c>
      <c r="D2" t="s">
        <v>19</v>
      </c>
      <c r="L2" s="2"/>
    </row>
    <row r="3" spans="1:18" x14ac:dyDescent="0.25">
      <c r="A3" t="s">
        <v>13</v>
      </c>
      <c r="B3" s="10">
        <v>45813.685416666667</v>
      </c>
      <c r="C3" s="11">
        <v>2.0539999999999998</v>
      </c>
      <c r="D3" t="s">
        <v>19</v>
      </c>
    </row>
    <row r="4" spans="1:18" x14ac:dyDescent="0.25">
      <c r="A4" t="s">
        <v>13</v>
      </c>
      <c r="B4" s="10">
        <v>45814.38008101852</v>
      </c>
      <c r="C4" s="11">
        <v>2.0449999999999999</v>
      </c>
      <c r="D4" t="s">
        <v>19</v>
      </c>
    </row>
    <row r="5" spans="1:18" x14ac:dyDescent="0.25">
      <c r="A5" t="s">
        <v>13</v>
      </c>
      <c r="B5" s="10">
        <v>45814.39880787037</v>
      </c>
      <c r="C5" s="11">
        <v>2.0150000000000001</v>
      </c>
      <c r="D5" t="s">
        <v>19</v>
      </c>
    </row>
    <row r="6" spans="1:18" x14ac:dyDescent="0.25">
      <c r="A6" t="s">
        <v>13</v>
      </c>
      <c r="B6" s="10">
        <v>45814.662685185183</v>
      </c>
      <c r="C6" s="11">
        <v>2.04</v>
      </c>
      <c r="D6" t="s">
        <v>19</v>
      </c>
    </row>
    <row r="7" spans="1:18" x14ac:dyDescent="0.25">
      <c r="A7" t="s">
        <v>20</v>
      </c>
      <c r="B7" s="10">
        <v>45818.369872685187</v>
      </c>
      <c r="C7" s="11">
        <v>2.0680000000000001</v>
      </c>
      <c r="D7" t="s">
        <v>21</v>
      </c>
    </row>
    <row r="8" spans="1:18" ht="15.75" thickBot="1" x14ac:dyDescent="0.3">
      <c r="A8" t="s">
        <v>20</v>
      </c>
      <c r="B8" s="10">
        <v>45818.372164351851</v>
      </c>
      <c r="C8" s="11">
        <v>2.0699999999999998</v>
      </c>
      <c r="D8" t="s">
        <v>21</v>
      </c>
      <c r="E8" s="2"/>
    </row>
    <row r="9" spans="1:18" x14ac:dyDescent="0.25">
      <c r="B9" s="10"/>
      <c r="C9" s="11"/>
      <c r="M9" s="101" t="s">
        <v>18</v>
      </c>
      <c r="N9" s="102"/>
      <c r="O9" s="102"/>
      <c r="P9" s="102"/>
      <c r="Q9" s="102"/>
      <c r="R9" s="103"/>
    </row>
    <row r="10" spans="1:18" ht="15.75" thickBot="1" x14ac:dyDescent="0.3">
      <c r="A10" t="s">
        <v>20</v>
      </c>
      <c r="B10" s="10">
        <v>45818.381701388891</v>
      </c>
      <c r="C10" s="11">
        <v>2.069</v>
      </c>
      <c r="D10" t="s">
        <v>21</v>
      </c>
      <c r="M10" s="104"/>
      <c r="N10" s="105"/>
      <c r="O10" s="105"/>
      <c r="P10" s="105"/>
      <c r="Q10" s="105"/>
      <c r="R10" s="106"/>
    </row>
    <row r="11" spans="1:18" ht="15.75" thickBot="1" x14ac:dyDescent="0.3">
      <c r="A11" t="s">
        <v>20</v>
      </c>
      <c r="B11" s="10">
        <v>45818.408773148149</v>
      </c>
      <c r="C11" s="11">
        <v>2.0739999999999998</v>
      </c>
      <c r="D11" t="s">
        <v>21</v>
      </c>
    </row>
    <row r="12" spans="1:18" x14ac:dyDescent="0.25">
      <c r="A12" t="s">
        <v>20</v>
      </c>
      <c r="B12" s="10">
        <v>45818.448738425926</v>
      </c>
      <c r="C12" s="11">
        <v>2.0720000000000001</v>
      </c>
      <c r="D12" t="s">
        <v>21</v>
      </c>
      <c r="M12" s="107"/>
      <c r="N12" s="108"/>
      <c r="O12" s="108"/>
      <c r="P12" s="108"/>
      <c r="Q12" s="108"/>
      <c r="R12" s="109"/>
    </row>
    <row r="13" spans="1:18" x14ac:dyDescent="0.25">
      <c r="A13" t="s">
        <v>20</v>
      </c>
      <c r="B13" s="10">
        <v>45818.465497685182</v>
      </c>
      <c r="C13" s="11">
        <v>2.0739999999999998</v>
      </c>
      <c r="D13" t="s">
        <v>21</v>
      </c>
      <c r="E13" s="2"/>
      <c r="M13" s="110"/>
      <c r="N13" s="111"/>
      <c r="O13" s="111"/>
      <c r="P13" s="111"/>
      <c r="Q13" s="111"/>
      <c r="R13" s="112"/>
    </row>
    <row r="14" spans="1:18" x14ac:dyDescent="0.25">
      <c r="A14" t="s">
        <v>20</v>
      </c>
      <c r="B14" s="10">
        <v>45818.574016203704</v>
      </c>
      <c r="C14" s="11">
        <v>2.069</v>
      </c>
      <c r="D14" t="s">
        <v>21</v>
      </c>
      <c r="M14" s="110"/>
      <c r="N14" s="111"/>
      <c r="O14" s="111"/>
      <c r="P14" s="111"/>
      <c r="Q14" s="111"/>
      <c r="R14" s="112"/>
    </row>
    <row r="15" spans="1:18" x14ac:dyDescent="0.25">
      <c r="A15" t="s">
        <v>20</v>
      </c>
      <c r="B15" s="10">
        <v>45818.58357638889</v>
      </c>
      <c r="C15" s="11">
        <v>2.0630000000000002</v>
      </c>
      <c r="D15" t="s">
        <v>21</v>
      </c>
      <c r="M15" s="110"/>
      <c r="N15" s="111"/>
      <c r="O15" s="111"/>
      <c r="P15" s="111"/>
      <c r="Q15" s="111"/>
      <c r="R15" s="112"/>
    </row>
    <row r="16" spans="1:18" x14ac:dyDescent="0.25">
      <c r="A16" t="s">
        <v>20</v>
      </c>
      <c r="B16" s="10">
        <v>45818.601631944446</v>
      </c>
      <c r="C16" s="11">
        <v>2.0699999999999998</v>
      </c>
      <c r="D16" t="s">
        <v>21</v>
      </c>
      <c r="M16" s="110"/>
      <c r="N16" s="111"/>
      <c r="O16" s="111"/>
      <c r="P16" s="111"/>
      <c r="Q16" s="111"/>
      <c r="R16" s="112"/>
    </row>
    <row r="17" spans="1:18" x14ac:dyDescent="0.25">
      <c r="A17" t="s">
        <v>20</v>
      </c>
      <c r="B17" s="10">
        <v>45818.615844907406</v>
      </c>
      <c r="C17" s="11">
        <v>2.0710000000000002</v>
      </c>
      <c r="D17" t="s">
        <v>21</v>
      </c>
      <c r="G17" t="s">
        <v>9</v>
      </c>
      <c r="M17" s="110"/>
      <c r="N17" s="111"/>
      <c r="O17" s="111"/>
      <c r="P17" s="111"/>
      <c r="Q17" s="111"/>
      <c r="R17" s="112"/>
    </row>
    <row r="18" spans="1:18" x14ac:dyDescent="0.25">
      <c r="A18" t="s">
        <v>20</v>
      </c>
      <c r="B18" s="10">
        <v>45818.630972222221</v>
      </c>
      <c r="C18" s="11">
        <v>2.0680000000000001</v>
      </c>
      <c r="D18" t="s">
        <v>21</v>
      </c>
      <c r="M18" s="110"/>
      <c r="N18" s="111"/>
      <c r="O18" s="111"/>
      <c r="P18" s="111"/>
      <c r="Q18" s="111"/>
      <c r="R18" s="112"/>
    </row>
    <row r="19" spans="1:18" x14ac:dyDescent="0.25">
      <c r="A19" t="s">
        <v>20</v>
      </c>
      <c r="B19" s="10">
        <v>45818.642430555556</v>
      </c>
      <c r="C19" s="11">
        <v>2.0710000000000002</v>
      </c>
      <c r="D19" t="s">
        <v>21</v>
      </c>
      <c r="M19" s="110"/>
      <c r="N19" s="111"/>
      <c r="O19" s="111"/>
      <c r="P19" s="111"/>
      <c r="Q19" s="111"/>
      <c r="R19" s="112"/>
    </row>
    <row r="20" spans="1:18" x14ac:dyDescent="0.25">
      <c r="A20" t="s">
        <v>22</v>
      </c>
      <c r="B20" s="10">
        <v>45818.679201388892</v>
      </c>
      <c r="C20" s="11">
        <v>2.4129999999999998</v>
      </c>
      <c r="D20" t="s">
        <v>21</v>
      </c>
      <c r="M20" s="110"/>
      <c r="N20" s="111"/>
      <c r="O20" s="111"/>
      <c r="P20" s="111"/>
      <c r="Q20" s="111"/>
      <c r="R20" s="112"/>
    </row>
    <row r="21" spans="1:18" x14ac:dyDescent="0.25">
      <c r="A21" t="s">
        <v>22</v>
      </c>
      <c r="B21" s="10">
        <v>45819.305428240739</v>
      </c>
      <c r="C21" s="11">
        <v>2.4140000000000001</v>
      </c>
      <c r="D21" t="s">
        <v>21</v>
      </c>
      <c r="M21" s="110"/>
      <c r="N21" s="111"/>
      <c r="O21" s="111"/>
      <c r="P21" s="111"/>
      <c r="Q21" s="111"/>
      <c r="R21" s="112"/>
    </row>
    <row r="22" spans="1:18" ht="15.75" thickBot="1" x14ac:dyDescent="0.3">
      <c r="A22" t="s">
        <v>22</v>
      </c>
      <c r="B22" s="10">
        <v>45819.331828703704</v>
      </c>
      <c r="C22" s="11">
        <v>2.4119999999999999</v>
      </c>
      <c r="D22" t="s">
        <v>21</v>
      </c>
      <c r="M22" s="113"/>
      <c r="N22" s="114"/>
      <c r="O22" s="114"/>
      <c r="P22" s="114"/>
      <c r="Q22" s="114"/>
      <c r="R22" s="115"/>
    </row>
    <row r="23" spans="1:18" x14ac:dyDescent="0.25">
      <c r="A23" t="s">
        <v>22</v>
      </c>
      <c r="B23" s="10">
        <v>45819.344930555555</v>
      </c>
      <c r="C23" s="11">
        <v>2.4140000000000001</v>
      </c>
      <c r="D23" t="s">
        <v>21</v>
      </c>
    </row>
    <row r="24" spans="1:18" x14ac:dyDescent="0.25">
      <c r="A24" t="s">
        <v>22</v>
      </c>
      <c r="B24" s="10">
        <v>45819.359293981484</v>
      </c>
      <c r="C24" s="11">
        <v>2.4140000000000001</v>
      </c>
      <c r="D24" t="s">
        <v>21</v>
      </c>
    </row>
    <row r="25" spans="1:18" x14ac:dyDescent="0.25">
      <c r="A25" t="s">
        <v>22</v>
      </c>
      <c r="B25" s="10">
        <v>45819.373333333337</v>
      </c>
      <c r="C25" s="11">
        <v>2.4159999999999999</v>
      </c>
      <c r="D25" t="s">
        <v>21</v>
      </c>
    </row>
    <row r="26" spans="1:18" x14ac:dyDescent="0.25">
      <c r="B26" s="10"/>
      <c r="C26" s="11"/>
    </row>
    <row r="27" spans="1:18" x14ac:dyDescent="0.25">
      <c r="A27" t="s">
        <v>14</v>
      </c>
      <c r="B27" s="10">
        <v>45819.433310185188</v>
      </c>
      <c r="C27" s="11">
        <v>2.2810000000000001</v>
      </c>
      <c r="D27" t="s">
        <v>21</v>
      </c>
    </row>
    <row r="28" spans="1:18" x14ac:dyDescent="0.25">
      <c r="A28" t="s">
        <v>20</v>
      </c>
      <c r="B28" s="10">
        <v>45819.463043981479</v>
      </c>
      <c r="C28" s="11">
        <v>2.0680000000000001</v>
      </c>
      <c r="D28" t="s">
        <v>21</v>
      </c>
    </row>
    <row r="29" spans="1:18" x14ac:dyDescent="0.25">
      <c r="A29" t="s">
        <v>20</v>
      </c>
      <c r="B29" s="10">
        <v>45819.477361111109</v>
      </c>
      <c r="C29" s="11">
        <v>2.0710000000000002</v>
      </c>
      <c r="D29" t="s">
        <v>21</v>
      </c>
    </row>
    <row r="30" spans="1:18" x14ac:dyDescent="0.25">
      <c r="A30" t="s">
        <v>23</v>
      </c>
      <c r="B30" s="10">
        <v>45820.545578703706</v>
      </c>
      <c r="C30" s="11">
        <v>2.109</v>
      </c>
      <c r="D30" t="s">
        <v>21</v>
      </c>
    </row>
    <row r="31" spans="1:18" x14ac:dyDescent="0.25">
      <c r="A31" t="s">
        <v>23</v>
      </c>
      <c r="B31" s="10">
        <v>45820.561342592591</v>
      </c>
      <c r="C31" s="11">
        <v>1.87</v>
      </c>
      <c r="D31" t="s">
        <v>21</v>
      </c>
    </row>
    <row r="32" spans="1:18" x14ac:dyDescent="0.25">
      <c r="B32" s="10"/>
      <c r="C32" s="11"/>
    </row>
    <row r="33" spans="1:4" x14ac:dyDescent="0.25">
      <c r="A33" t="s">
        <v>24</v>
      </c>
      <c r="B33" s="10">
        <v>45820.662511574075</v>
      </c>
      <c r="C33" s="11">
        <v>1.681</v>
      </c>
      <c r="D33" t="s">
        <v>21</v>
      </c>
    </row>
    <row r="34" spans="1:4" x14ac:dyDescent="0.25">
      <c r="A34" t="s">
        <v>25</v>
      </c>
      <c r="B34" s="10">
        <v>45821.302974537037</v>
      </c>
      <c r="C34" s="11">
        <v>1.669</v>
      </c>
      <c r="D34" t="s">
        <v>21</v>
      </c>
    </row>
    <row r="35" spans="1:4" x14ac:dyDescent="0.25">
      <c r="A35" t="s">
        <v>24</v>
      </c>
      <c r="B35" s="10">
        <v>45821.326284722221</v>
      </c>
      <c r="C35" s="11">
        <v>1.6639999999999999</v>
      </c>
      <c r="D35" t="s">
        <v>21</v>
      </c>
    </row>
    <row r="36" spans="1:4" x14ac:dyDescent="0.25">
      <c r="A36" t="s">
        <v>24</v>
      </c>
      <c r="B36" s="10">
        <v>45821.357835648145</v>
      </c>
      <c r="C36" s="11">
        <v>1.669</v>
      </c>
      <c r="D36" t="s">
        <v>21</v>
      </c>
    </row>
    <row r="37" spans="1:4" x14ac:dyDescent="0.25">
      <c r="A37" t="s">
        <v>24</v>
      </c>
      <c r="B37" s="10">
        <v>45821.381990740738</v>
      </c>
      <c r="C37" s="11">
        <v>1.667</v>
      </c>
      <c r="D37" t="s">
        <v>21</v>
      </c>
    </row>
    <row r="38" spans="1:4" x14ac:dyDescent="0.25">
      <c r="B38" s="10"/>
      <c r="C38" s="11"/>
    </row>
    <row r="39" spans="1:4" x14ac:dyDescent="0.25">
      <c r="A39" t="s">
        <v>24</v>
      </c>
      <c r="B39" s="10">
        <v>45824.320474537039</v>
      </c>
      <c r="C39" s="11">
        <v>1.901</v>
      </c>
      <c r="D39" t="s">
        <v>21</v>
      </c>
    </row>
    <row r="40" spans="1:4" x14ac:dyDescent="0.25">
      <c r="A40" t="s">
        <v>24</v>
      </c>
      <c r="B40" s="10">
        <v>45824.32739583333</v>
      </c>
      <c r="C40" s="11">
        <v>1.901</v>
      </c>
      <c r="D40" t="s">
        <v>21</v>
      </c>
    </row>
    <row r="41" spans="1:4" x14ac:dyDescent="0.25">
      <c r="A41" t="s">
        <v>24</v>
      </c>
      <c r="B41" s="10">
        <v>45824.342291666668</v>
      </c>
      <c r="C41" s="11">
        <v>1.907</v>
      </c>
      <c r="D41" t="s">
        <v>21</v>
      </c>
    </row>
    <row r="42" spans="1:4" x14ac:dyDescent="0.25">
      <c r="A42" t="s">
        <v>24</v>
      </c>
      <c r="B42" s="10">
        <v>45824.373773148145</v>
      </c>
      <c r="C42" s="11">
        <v>1.897</v>
      </c>
      <c r="D42" t="s">
        <v>21</v>
      </c>
    </row>
    <row r="43" spans="1:4" x14ac:dyDescent="0.25">
      <c r="A43" t="s">
        <v>24</v>
      </c>
      <c r="B43" s="10">
        <v>45824.482372685183</v>
      </c>
      <c r="C43" s="11">
        <v>1.905</v>
      </c>
      <c r="D43" t="s">
        <v>21</v>
      </c>
    </row>
    <row r="44" spans="1:4" x14ac:dyDescent="0.25">
      <c r="A44" t="s">
        <v>24</v>
      </c>
      <c r="B44" s="10">
        <v>45824.577002314814</v>
      </c>
      <c r="C44" s="11">
        <v>1.891</v>
      </c>
      <c r="D44" t="s">
        <v>21</v>
      </c>
    </row>
    <row r="45" spans="1:4" x14ac:dyDescent="0.25">
      <c r="B45" s="10"/>
      <c r="C45" s="11"/>
    </row>
    <row r="46" spans="1:4" x14ac:dyDescent="0.25">
      <c r="A46" t="s">
        <v>24</v>
      </c>
      <c r="B46" s="10">
        <v>45824.610127314816</v>
      </c>
      <c r="C46" s="11">
        <v>1.901</v>
      </c>
      <c r="D46" t="s">
        <v>21</v>
      </c>
    </row>
    <row r="47" spans="1:4" x14ac:dyDescent="0.25">
      <c r="A47" t="s">
        <v>24</v>
      </c>
      <c r="B47" s="10">
        <v>45824.682662037034</v>
      </c>
      <c r="C47" s="11">
        <v>1.9039999999999999</v>
      </c>
      <c r="D47" t="s">
        <v>21</v>
      </c>
    </row>
    <row r="48" spans="1:4" x14ac:dyDescent="0.25">
      <c r="A48" t="s">
        <v>24</v>
      </c>
      <c r="B48" s="10">
        <v>45825.372777777775</v>
      </c>
      <c r="C48" s="11">
        <v>1.903</v>
      </c>
      <c r="D48" t="s">
        <v>21</v>
      </c>
    </row>
    <row r="49" spans="1:4" x14ac:dyDescent="0.25">
      <c r="B49" s="10"/>
      <c r="C49" s="11"/>
    </row>
    <row r="50" spans="1:4" x14ac:dyDescent="0.25">
      <c r="A50" t="s">
        <v>23</v>
      </c>
      <c r="B50" s="10">
        <v>45826.327627314815</v>
      </c>
      <c r="C50" s="11">
        <v>1.8759999999999999</v>
      </c>
      <c r="D50" t="s">
        <v>21</v>
      </c>
    </row>
    <row r="51" spans="1:4" x14ac:dyDescent="0.25">
      <c r="A51" t="s">
        <v>23</v>
      </c>
      <c r="B51" s="10">
        <v>45826.328981481478</v>
      </c>
      <c r="C51" s="11">
        <v>1.8759999999999999</v>
      </c>
      <c r="D51" t="s">
        <v>21</v>
      </c>
    </row>
    <row r="52" spans="1:4" x14ac:dyDescent="0.25">
      <c r="A52" t="s">
        <v>13</v>
      </c>
      <c r="B52" s="10">
        <v>45826.407916666663</v>
      </c>
      <c r="C52" s="11">
        <v>2.0379999999999998</v>
      </c>
      <c r="D52" t="s">
        <v>21</v>
      </c>
    </row>
    <row r="53" spans="1:4" x14ac:dyDescent="0.25">
      <c r="A53" t="s">
        <v>13</v>
      </c>
      <c r="B53" s="10">
        <v>45826.412407407406</v>
      </c>
      <c r="C53" s="11">
        <v>2.0289999999999999</v>
      </c>
      <c r="D53" t="s">
        <v>21</v>
      </c>
    </row>
    <row r="54" spans="1:4" x14ac:dyDescent="0.25">
      <c r="A54" t="s">
        <v>13</v>
      </c>
      <c r="B54" s="10">
        <v>45826.413726851853</v>
      </c>
      <c r="C54" s="11">
        <v>2.0329999999999999</v>
      </c>
      <c r="D54" t="s">
        <v>21</v>
      </c>
    </row>
    <row r="55" spans="1:4" x14ac:dyDescent="0.25">
      <c r="A55" t="s">
        <v>13</v>
      </c>
      <c r="B55" s="10">
        <v>45826.465486111112</v>
      </c>
      <c r="C55" s="11">
        <v>2.0739999999999998</v>
      </c>
      <c r="D55" t="s">
        <v>21</v>
      </c>
    </row>
    <row r="56" spans="1:4" x14ac:dyDescent="0.25">
      <c r="A56" t="s">
        <v>13</v>
      </c>
      <c r="B56" s="10">
        <v>45826.471805555557</v>
      </c>
      <c r="C56" s="11">
        <v>2.0739999999999998</v>
      </c>
      <c r="D56" t="s">
        <v>21</v>
      </c>
    </row>
    <row r="57" spans="1:4" x14ac:dyDescent="0.25">
      <c r="A57" t="s">
        <v>23</v>
      </c>
      <c r="B57" s="10">
        <v>45826.597060185188</v>
      </c>
      <c r="C57" s="11">
        <v>1.8779999999999999</v>
      </c>
      <c r="D57" t="s">
        <v>21</v>
      </c>
    </row>
    <row r="58" spans="1:4" x14ac:dyDescent="0.25">
      <c r="A58" t="s">
        <v>20</v>
      </c>
      <c r="B58" s="10">
        <v>45826.630243055559</v>
      </c>
      <c r="C58" s="11">
        <v>2.0699999999999998</v>
      </c>
      <c r="D58" t="s">
        <v>21</v>
      </c>
    </row>
    <row r="59" spans="1:4" x14ac:dyDescent="0.25">
      <c r="A59" t="s">
        <v>20</v>
      </c>
      <c r="B59" s="10">
        <v>45826.633553240739</v>
      </c>
      <c r="C59" s="11">
        <v>2.6360000000000001</v>
      </c>
      <c r="D59" t="s">
        <v>21</v>
      </c>
    </row>
    <row r="60" spans="1:4" x14ac:dyDescent="0.25">
      <c r="A60" t="s">
        <v>23</v>
      </c>
      <c r="B60" s="10">
        <v>45826.652546296296</v>
      </c>
      <c r="C60" s="11">
        <v>1.875</v>
      </c>
      <c r="D60" t="s">
        <v>21</v>
      </c>
    </row>
    <row r="61" spans="1:4" x14ac:dyDescent="0.25">
      <c r="A61" t="s">
        <v>13</v>
      </c>
      <c r="B61" s="10">
        <v>45828.63857638889</v>
      </c>
      <c r="C61" s="11">
        <v>2.0230000000000001</v>
      </c>
      <c r="D61" t="s">
        <v>21</v>
      </c>
    </row>
    <row r="62" spans="1:4" x14ac:dyDescent="0.25">
      <c r="A62" t="s">
        <v>13</v>
      </c>
      <c r="B62" s="10">
        <v>45828.641099537039</v>
      </c>
      <c r="C62" s="11">
        <v>2.032</v>
      </c>
      <c r="D62" t="s">
        <v>21</v>
      </c>
    </row>
    <row r="63" spans="1:4" x14ac:dyDescent="0.25">
      <c r="A63" t="s">
        <v>13</v>
      </c>
      <c r="B63" s="10">
        <v>45828.64261574074</v>
      </c>
      <c r="C63" s="11">
        <v>2.048</v>
      </c>
      <c r="D63" t="s">
        <v>21</v>
      </c>
    </row>
    <row r="64" spans="1:4" x14ac:dyDescent="0.25">
      <c r="A64" t="s">
        <v>13</v>
      </c>
      <c r="B64" s="10">
        <v>45828.648078703707</v>
      </c>
      <c r="C64" s="11">
        <v>2.0310000000000001</v>
      </c>
      <c r="D64" t="s">
        <v>21</v>
      </c>
    </row>
    <row r="65" spans="1:4" x14ac:dyDescent="0.25">
      <c r="A65" t="s">
        <v>13</v>
      </c>
      <c r="B65" s="10">
        <v>45831.44903935185</v>
      </c>
      <c r="C65" s="11">
        <v>2.02</v>
      </c>
      <c r="D65" t="s">
        <v>21</v>
      </c>
    </row>
    <row r="66" spans="1:4" x14ac:dyDescent="0.25">
      <c r="A66" t="s">
        <v>13</v>
      </c>
      <c r="B66" s="10">
        <v>45831.451296296298</v>
      </c>
      <c r="C66" s="11">
        <v>1.883</v>
      </c>
      <c r="D66" t="s">
        <v>21</v>
      </c>
    </row>
    <row r="67" spans="1:4" x14ac:dyDescent="0.25">
      <c r="A67" t="s">
        <v>13</v>
      </c>
      <c r="B67" s="10">
        <v>45831.4530787037</v>
      </c>
      <c r="C67" s="11">
        <v>1.877</v>
      </c>
      <c r="D67" t="s">
        <v>21</v>
      </c>
    </row>
    <row r="68" spans="1:4" x14ac:dyDescent="0.25">
      <c r="A68" t="s">
        <v>23</v>
      </c>
      <c r="B68" s="10">
        <v>45831.604351851849</v>
      </c>
      <c r="C68" s="11">
        <v>1.8819999999999999</v>
      </c>
      <c r="D68" t="s">
        <v>21</v>
      </c>
    </row>
    <row r="69" spans="1:4" x14ac:dyDescent="0.25">
      <c r="A69" t="s">
        <v>23</v>
      </c>
      <c r="B69" s="10">
        <v>45831.606504629628</v>
      </c>
      <c r="C69" s="11">
        <v>1.885</v>
      </c>
      <c r="D69" t="s">
        <v>21</v>
      </c>
    </row>
    <row r="70" spans="1:4" x14ac:dyDescent="0.25">
      <c r="A70" t="s">
        <v>13</v>
      </c>
      <c r="B70" s="10">
        <v>45832.452372685184</v>
      </c>
      <c r="C70" s="11">
        <v>0.95899999999999996</v>
      </c>
      <c r="D70" t="s">
        <v>21</v>
      </c>
    </row>
    <row r="71" spans="1:4" x14ac:dyDescent="0.25">
      <c r="A71" t="s">
        <v>20</v>
      </c>
      <c r="B71" s="10">
        <v>45832.460243055553</v>
      </c>
      <c r="C71" s="11">
        <v>2.0819999999999999</v>
      </c>
      <c r="D71" t="s">
        <v>21</v>
      </c>
    </row>
    <row r="72" spans="1:4" x14ac:dyDescent="0.25">
      <c r="A72" t="s">
        <v>20</v>
      </c>
      <c r="B72" s="10">
        <v>45832.466608796298</v>
      </c>
      <c r="C72" s="11">
        <v>0.59199999999999997</v>
      </c>
      <c r="D72" t="s">
        <v>21</v>
      </c>
    </row>
    <row r="73" spans="1:4" x14ac:dyDescent="0.25">
      <c r="A73" t="s">
        <v>23</v>
      </c>
      <c r="B73" s="10">
        <v>45832.622465277775</v>
      </c>
      <c r="C73" s="11">
        <v>1.8839999999999999</v>
      </c>
      <c r="D73" t="s">
        <v>21</v>
      </c>
    </row>
    <row r="74" spans="1:4" x14ac:dyDescent="0.25">
      <c r="A74" t="s">
        <v>22</v>
      </c>
      <c r="B74" s="10">
        <v>45832.682233796295</v>
      </c>
      <c r="C74" s="11">
        <v>2.4129999999999998</v>
      </c>
      <c r="D74" t="s">
        <v>21</v>
      </c>
    </row>
    <row r="75" spans="1:4" x14ac:dyDescent="0.25">
      <c r="A75" t="s">
        <v>22</v>
      </c>
      <c r="B75" s="10">
        <v>45833.324571759258</v>
      </c>
      <c r="C75" s="11">
        <v>2.419</v>
      </c>
      <c r="D75" t="s">
        <v>21</v>
      </c>
    </row>
    <row r="76" spans="1:4" x14ac:dyDescent="0.25">
      <c r="A76" t="s">
        <v>23</v>
      </c>
      <c r="B76" s="10">
        <v>45833.458460648151</v>
      </c>
      <c r="C76" s="11">
        <v>1.877</v>
      </c>
      <c r="D76" t="s">
        <v>21</v>
      </c>
    </row>
    <row r="77" spans="1:4" x14ac:dyDescent="0.25">
      <c r="A77" t="s">
        <v>27</v>
      </c>
      <c r="B77" s="10">
        <v>45852.321226851855</v>
      </c>
      <c r="C77" s="11">
        <v>1.9379999999999999</v>
      </c>
      <c r="D77" t="s">
        <v>21</v>
      </c>
    </row>
    <row r="78" spans="1:4" x14ac:dyDescent="0.25">
      <c r="A78" t="s">
        <v>23</v>
      </c>
      <c r="B78" s="10">
        <v>45852.618923611109</v>
      </c>
      <c r="C78" s="11">
        <v>1.8720000000000001</v>
      </c>
      <c r="D78" t="s">
        <v>21</v>
      </c>
    </row>
    <row r="79" spans="1:4" x14ac:dyDescent="0.25">
      <c r="A79" t="s">
        <v>32</v>
      </c>
      <c r="B79" s="10">
        <v>45884.621354166666</v>
      </c>
      <c r="C79" s="11">
        <v>0.73</v>
      </c>
      <c r="D79" t="s">
        <v>33</v>
      </c>
    </row>
    <row r="80" spans="1:4" x14ac:dyDescent="0.25">
      <c r="A80" t="s">
        <v>31</v>
      </c>
      <c r="B80" s="10">
        <v>45884.645624999997</v>
      </c>
      <c r="C80" s="11">
        <v>1.915</v>
      </c>
      <c r="D80" t="s">
        <v>33</v>
      </c>
    </row>
    <row r="81" spans="1:4" x14ac:dyDescent="0.25">
      <c r="A81" t="s">
        <v>29</v>
      </c>
      <c r="B81" s="10">
        <v>45888.33016203704</v>
      </c>
      <c r="C81" s="11">
        <v>1.913</v>
      </c>
      <c r="D81" t="s">
        <v>21</v>
      </c>
    </row>
    <row r="82" spans="1:4" x14ac:dyDescent="0.25">
      <c r="A82" t="s">
        <v>29</v>
      </c>
      <c r="B82" s="10">
        <v>45888.337199074071</v>
      </c>
      <c r="C82" s="11">
        <v>1.91</v>
      </c>
      <c r="D82" t="s">
        <v>21</v>
      </c>
    </row>
    <row r="83" spans="1:4" x14ac:dyDescent="0.25">
      <c r="B83" s="10"/>
      <c r="C83" s="11"/>
    </row>
    <row r="84" spans="1:4" x14ac:dyDescent="0.25">
      <c r="A84" t="s">
        <v>30</v>
      </c>
      <c r="B84" s="10">
        <v>45888.372627314813</v>
      </c>
      <c r="C84" s="11">
        <v>1.931</v>
      </c>
      <c r="D84" t="s">
        <v>21</v>
      </c>
    </row>
    <row r="85" spans="1:4" x14ac:dyDescent="0.25">
      <c r="A85" t="s">
        <v>30</v>
      </c>
      <c r="B85" s="10">
        <v>45888.585312499999</v>
      </c>
      <c r="C85" s="11">
        <v>1.9</v>
      </c>
      <c r="D85" t="s">
        <v>21</v>
      </c>
    </row>
    <row r="86" spans="1:4" x14ac:dyDescent="0.25">
      <c r="A86" t="s">
        <v>30</v>
      </c>
      <c r="B86" s="10">
        <v>45888.618009259262</v>
      </c>
      <c r="C86" s="11">
        <v>1.905</v>
      </c>
      <c r="D86" t="s">
        <v>21</v>
      </c>
    </row>
    <row r="87" spans="1:4" x14ac:dyDescent="0.25">
      <c r="A87" t="s">
        <v>30</v>
      </c>
      <c r="B87" s="10">
        <v>45889.429537037038</v>
      </c>
      <c r="C87" s="11">
        <v>1.9059999999999999</v>
      </c>
      <c r="D87" t="s">
        <v>21</v>
      </c>
    </row>
    <row r="88" spans="1:4" x14ac:dyDescent="0.25">
      <c r="A88" t="s">
        <v>30</v>
      </c>
      <c r="B88" s="10">
        <v>45889.560486111113</v>
      </c>
      <c r="C88" s="11">
        <v>1.909</v>
      </c>
      <c r="D88" t="s">
        <v>21</v>
      </c>
    </row>
    <row r="89" spans="1:4" x14ac:dyDescent="0.25">
      <c r="A89" t="s">
        <v>31</v>
      </c>
      <c r="B89" s="10">
        <v>45889.633680555555</v>
      </c>
      <c r="C89" s="11">
        <v>0.89900000000000002</v>
      </c>
      <c r="D89" t="s">
        <v>21</v>
      </c>
    </row>
    <row r="90" spans="1:4" x14ac:dyDescent="0.25">
      <c r="A90" t="s">
        <v>31</v>
      </c>
      <c r="B90" s="10">
        <v>45889.637476851851</v>
      </c>
      <c r="C90" s="11">
        <v>1.819</v>
      </c>
      <c r="D90" t="s">
        <v>21</v>
      </c>
    </row>
    <row r="91" spans="1:4" x14ac:dyDescent="0.25">
      <c r="A91" t="s">
        <v>30</v>
      </c>
      <c r="B91" s="10">
        <v>45890.523877314816</v>
      </c>
      <c r="C91" s="11">
        <v>1.9079999999999999</v>
      </c>
      <c r="D91" t="s">
        <v>21</v>
      </c>
    </row>
    <row r="92" spans="1:4" x14ac:dyDescent="0.25">
      <c r="A92" t="s">
        <v>30</v>
      </c>
      <c r="B92" s="10">
        <v>45890.538819444446</v>
      </c>
      <c r="C92" s="11">
        <v>1.9119999999999999</v>
      </c>
      <c r="D92" t="s">
        <v>31</v>
      </c>
    </row>
    <row r="93" spans="1:4" x14ac:dyDescent="0.25">
      <c r="A93" t="s">
        <v>34</v>
      </c>
      <c r="B93" s="10">
        <v>45890.556898148148</v>
      </c>
      <c r="C93" s="11">
        <v>1.911</v>
      </c>
      <c r="D93" t="s">
        <v>21</v>
      </c>
    </row>
    <row r="94" spans="1:4" x14ac:dyDescent="0.25">
      <c r="A94" t="s">
        <v>34</v>
      </c>
      <c r="B94" s="10">
        <v>45890.55878472222</v>
      </c>
      <c r="C94" s="11">
        <v>0.64700000000000002</v>
      </c>
      <c r="D94" t="s">
        <v>21</v>
      </c>
    </row>
    <row r="95" spans="1:4" x14ac:dyDescent="0.25">
      <c r="A95" t="s">
        <v>31</v>
      </c>
      <c r="B95" s="10">
        <v>45890.577453703707</v>
      </c>
      <c r="C95" s="11">
        <v>0.9</v>
      </c>
      <c r="D95" t="s">
        <v>21</v>
      </c>
    </row>
    <row r="96" spans="1:4" x14ac:dyDescent="0.25">
      <c r="A96" t="s">
        <v>30</v>
      </c>
      <c r="B96" s="10">
        <v>45891.361354166664</v>
      </c>
      <c r="C96" s="11">
        <v>1.913</v>
      </c>
      <c r="D96" t="s">
        <v>21</v>
      </c>
    </row>
    <row r="97" spans="1:4" x14ac:dyDescent="0.25">
      <c r="A97" t="s">
        <v>31</v>
      </c>
      <c r="B97" s="10">
        <v>45891.428796296299</v>
      </c>
      <c r="C97" s="11">
        <v>1.915</v>
      </c>
      <c r="D97" t="s">
        <v>21</v>
      </c>
    </row>
    <row r="98" spans="1:4" x14ac:dyDescent="0.25">
      <c r="A98" t="s">
        <v>30</v>
      </c>
      <c r="B98" s="10">
        <v>45891.450358796297</v>
      </c>
      <c r="C98" s="11">
        <v>1.92</v>
      </c>
      <c r="D98" t="s">
        <v>21</v>
      </c>
    </row>
    <row r="99" spans="1:4" x14ac:dyDescent="0.25">
      <c r="A99" t="s">
        <v>30</v>
      </c>
      <c r="B99" s="10">
        <v>45894.308310185188</v>
      </c>
      <c r="C99" s="11">
        <v>1.9219999999999999</v>
      </c>
      <c r="D99" t="s">
        <v>21</v>
      </c>
    </row>
    <row r="100" spans="1:4" x14ac:dyDescent="0.25">
      <c r="A100" t="s">
        <v>30</v>
      </c>
      <c r="B100" s="10">
        <v>45894.496099537035</v>
      </c>
      <c r="C100" s="11">
        <v>1.913</v>
      </c>
      <c r="D100" t="s">
        <v>21</v>
      </c>
    </row>
    <row r="101" spans="1:4" x14ac:dyDescent="0.25">
      <c r="A101" t="s">
        <v>32</v>
      </c>
      <c r="B101" s="10">
        <v>45895.577615740738</v>
      </c>
      <c r="C101" s="11">
        <v>2.133</v>
      </c>
      <c r="D101" t="s">
        <v>21</v>
      </c>
    </row>
    <row r="102" spans="1:4" x14ac:dyDescent="0.25">
      <c r="B102" s="10"/>
      <c r="C102" s="11"/>
    </row>
    <row r="103" spans="1:4" x14ac:dyDescent="0.25">
      <c r="A103" t="s">
        <v>28</v>
      </c>
      <c r="B103" s="10">
        <v>45896.303391203706</v>
      </c>
      <c r="C103" s="11">
        <v>1.5629999999999999</v>
      </c>
      <c r="D103" t="s">
        <v>21</v>
      </c>
    </row>
    <row r="104" spans="1:4" x14ac:dyDescent="0.25">
      <c r="B104" s="10"/>
      <c r="C104" s="11"/>
    </row>
    <row r="105" spans="1:4" x14ac:dyDescent="0.25">
      <c r="A105" t="s">
        <v>32</v>
      </c>
      <c r="B105" s="10">
        <v>45896.347696759258</v>
      </c>
      <c r="C105" s="11">
        <v>2.1240000000000001</v>
      </c>
      <c r="D105" t="s">
        <v>35</v>
      </c>
    </row>
    <row r="106" spans="1:4" x14ac:dyDescent="0.25">
      <c r="A106" t="s">
        <v>36</v>
      </c>
      <c r="B106" s="10">
        <v>45896.672129629631</v>
      </c>
      <c r="C106" s="11">
        <v>1.9530000000000001</v>
      </c>
      <c r="D106" t="s">
        <v>21</v>
      </c>
    </row>
    <row r="107" spans="1:4" x14ac:dyDescent="0.25">
      <c r="A107" t="s">
        <v>32</v>
      </c>
      <c r="B107" s="10">
        <v>45897.570567129631</v>
      </c>
      <c r="C107" s="11">
        <v>2.1440000000000001</v>
      </c>
      <c r="D107" t="s">
        <v>21</v>
      </c>
    </row>
    <row r="108" spans="1:4" x14ac:dyDescent="0.25">
      <c r="A108" t="s">
        <v>37</v>
      </c>
      <c r="B108" s="10">
        <v>45901.324004629627</v>
      </c>
      <c r="C108" s="11">
        <v>2.621</v>
      </c>
      <c r="D108" t="s">
        <v>21</v>
      </c>
    </row>
    <row r="109" spans="1:4" x14ac:dyDescent="0.25">
      <c r="A109" t="s">
        <v>40</v>
      </c>
      <c r="B109" s="10">
        <v>45902.446018518516</v>
      </c>
      <c r="C109" s="11">
        <v>1.879</v>
      </c>
      <c r="D109" t="s">
        <v>21</v>
      </c>
    </row>
    <row r="110" spans="1:4" x14ac:dyDescent="0.25">
      <c r="A110" t="s">
        <v>38</v>
      </c>
      <c r="B110" s="10">
        <v>45902.44866898148</v>
      </c>
      <c r="C110" s="11">
        <v>2.1160000000000001</v>
      </c>
      <c r="D110" t="s">
        <v>21</v>
      </c>
    </row>
    <row r="111" spans="1:4" x14ac:dyDescent="0.25">
      <c r="A111" t="s">
        <v>39</v>
      </c>
      <c r="B111" s="10">
        <v>45902.574479166666</v>
      </c>
      <c r="C111" s="11">
        <v>1.6419999999999999</v>
      </c>
      <c r="D111" t="s">
        <v>21</v>
      </c>
    </row>
    <row r="112" spans="1:4" x14ac:dyDescent="0.25">
      <c r="A112" t="s">
        <v>38</v>
      </c>
      <c r="B112" s="10">
        <v>45902.60261574074</v>
      </c>
      <c r="C112" s="11">
        <v>0.91700000000000004</v>
      </c>
      <c r="D112" t="s">
        <v>21</v>
      </c>
    </row>
    <row r="113" spans="1:4" x14ac:dyDescent="0.25">
      <c r="A113" t="s">
        <v>41</v>
      </c>
      <c r="B113" s="10">
        <v>45909.349768518521</v>
      </c>
      <c r="C113" s="11">
        <v>2.6139999999999999</v>
      </c>
      <c r="D113" t="s">
        <v>21</v>
      </c>
    </row>
    <row r="114" spans="1:4" x14ac:dyDescent="0.25">
      <c r="A114" t="s">
        <v>42</v>
      </c>
      <c r="B114" s="10">
        <v>45909.671689814815</v>
      </c>
      <c r="C114" s="11">
        <v>1.504</v>
      </c>
      <c r="D114" t="s">
        <v>21</v>
      </c>
    </row>
    <row r="115" spans="1:4" x14ac:dyDescent="0.25">
      <c r="A115" t="s">
        <v>43</v>
      </c>
      <c r="B115" s="10">
        <v>45910.449525462966</v>
      </c>
      <c r="C115" s="11">
        <v>1.9259999999999999</v>
      </c>
      <c r="D115" t="s">
        <v>21</v>
      </c>
    </row>
    <row r="116" spans="1:4" x14ac:dyDescent="0.25">
      <c r="A116" t="s">
        <v>43</v>
      </c>
      <c r="B116" s="10">
        <v>45910.462893518517</v>
      </c>
      <c r="C116" s="11">
        <v>1.6839999999999999</v>
      </c>
      <c r="D116" t="s">
        <v>21</v>
      </c>
    </row>
    <row r="117" spans="1:4" x14ac:dyDescent="0.25">
      <c r="A117" t="s">
        <v>26</v>
      </c>
      <c r="B117" s="10">
        <v>45910.47148148148</v>
      </c>
      <c r="C117" s="11">
        <v>2.044</v>
      </c>
      <c r="D117" t="s">
        <v>21</v>
      </c>
    </row>
    <row r="118" spans="1:4" x14ac:dyDescent="0.25">
      <c r="A118" t="s">
        <v>26</v>
      </c>
      <c r="B118" s="10">
        <v>45910.473530092589</v>
      </c>
      <c r="C118" s="11">
        <v>2.4369999999999998</v>
      </c>
      <c r="D118" t="s">
        <v>21</v>
      </c>
    </row>
  </sheetData>
  <mergeCells count="2">
    <mergeCell ref="M9:R10"/>
    <mergeCell ref="M12:R2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Button 1">
              <controlPr defaultSize="0" print="0" autoFill="0" autoPict="0" macro="[0]!Sheet4.BotonConectar">
                <anchor moveWithCells="1" sizeWithCells="1">
                  <from>
                    <xdr:col>12</xdr:col>
                    <xdr:colOff>142875</xdr:colOff>
                    <xdr:row>11</xdr:row>
                    <xdr:rowOff>38100</xdr:rowOff>
                  </from>
                  <to>
                    <xdr:col>14</xdr:col>
                    <xdr:colOff>504825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Button 2">
              <controlPr defaultSize="0" print="0" autoFill="0" autoPict="0" macro="[0]!Sheet4.BotonDesconectar">
                <anchor moveWithCells="1" sizeWithCells="1">
                  <from>
                    <xdr:col>15</xdr:col>
                    <xdr:colOff>123825</xdr:colOff>
                    <xdr:row>18</xdr:row>
                    <xdr:rowOff>76200</xdr:rowOff>
                  </from>
                  <to>
                    <xdr:col>17</xdr:col>
                    <xdr:colOff>485775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Button 3">
              <controlPr defaultSize="0" print="0" autoFill="0" autoPict="0" macro="[0]!Sheet4.LeerYRegistrarPeso">
                <anchor moveWithCells="1" sizeWithCells="1">
                  <from>
                    <xdr:col>15</xdr:col>
                    <xdr:colOff>114300</xdr:colOff>
                    <xdr:row>11</xdr:row>
                    <xdr:rowOff>57150</xdr:rowOff>
                  </from>
                  <to>
                    <xdr:col>17</xdr:col>
                    <xdr:colOff>476250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Button 4">
              <controlPr defaultSize="0" print="0" autoFill="0" autoPict="0" macro="[0]!Sheet4.ImprimirPesoDesdeSeleccion">
                <anchor moveWithCells="1" sizeWithCells="1">
                  <from>
                    <xdr:col>15</xdr:col>
                    <xdr:colOff>114300</xdr:colOff>
                    <xdr:row>14</xdr:row>
                    <xdr:rowOff>161925</xdr:rowOff>
                  </from>
                  <to>
                    <xdr:col>17</xdr:col>
                    <xdr:colOff>476250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Button 5">
              <controlPr defaultSize="0" print="0" autoFill="0" autoPict="0" macro="[0]!Sheet4.RegistrarOrdenDeTrabajo">
                <anchor moveWithCells="1" sizeWithCells="1">
                  <from>
                    <xdr:col>12</xdr:col>
                    <xdr:colOff>142875</xdr:colOff>
                    <xdr:row>18</xdr:row>
                    <xdr:rowOff>95250</xdr:rowOff>
                  </from>
                  <to>
                    <xdr:col>14</xdr:col>
                    <xdr:colOff>504825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Button 6">
              <controlPr defaultSize="0" print="0" autoFill="0" autoPict="0" macro="[0]!Sheet4.RegistrarOperador">
                <anchor moveWithCells="1" sizeWithCells="1">
                  <from>
                    <xdr:col>12</xdr:col>
                    <xdr:colOff>142875</xdr:colOff>
                    <xdr:row>14</xdr:row>
                    <xdr:rowOff>152400</xdr:rowOff>
                  </from>
                  <to>
                    <xdr:col>14</xdr:col>
                    <xdr:colOff>504825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Generador de plantillas</vt:lpstr>
      <vt:lpstr>Catalogo_OT</vt:lpstr>
      <vt:lpstr>PLANTILLA</vt:lpstr>
      <vt:lpstr>PLANTILLA FANOUT</vt:lpstr>
      <vt:lpstr>Registro de pesos por caja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P1 Registro de productos para almacen</dc:title>
  <dc:creator>Paulo David Carrizales Negrete;MEXPOINT FO</dc:creator>
  <cp:keywords>Productos de almacen</cp:keywords>
  <cp:lastModifiedBy>Paulo David Carrizales Negrete</cp:lastModifiedBy>
  <cp:lastPrinted>2025-08-20T20:38:29Z</cp:lastPrinted>
  <dcterms:created xsi:type="dcterms:W3CDTF">2025-04-14T20:01:23Z</dcterms:created>
  <dcterms:modified xsi:type="dcterms:W3CDTF">2026-03-12T20:36:20Z</dcterms:modified>
  <cp:category>Empaques</cp:category>
</cp:coreProperties>
</file>